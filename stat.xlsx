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tabRatio="500" windowHeight="16260" windowWidth="28800" xWindow="0" yWindow="500"/>
  </bookViews>
  <sheets>
    <sheet xmlns:r="http://schemas.openxmlformats.org/officeDocument/2006/relationships" name="Taggetabell" sheetId="1" state="visible" r:id="rId1"/>
  </sheets>
  <definedNames/>
  <calcPr calcId="191029" fullCalcOnLoad="1"/>
</workbook>
</file>

<file path=xl/sharedStrings.xml><?xml version="1.0" encoding="utf-8"?>
<sst xmlns="http://schemas.openxmlformats.org/spreadsheetml/2006/main" uniqueCount="1416">
  <si>
    <t>SSR1 gruppe</t>
  </si>
  <si>
    <t>SSR2 kategori</t>
  </si>
  <si>
    <t>SSR2 gruppe</t>
  </si>
  <si>
    <t>SSR1 navntype</t>
  </si>
  <si>
    <t>SSR2 navnetype</t>
  </si>
  <si>
    <t>SSR2 antall</t>
  </si>
  <si>
    <t>SSR1 antall</t>
  </si>
  <si>
    <t>SSR1 namn</t>
  </si>
  <si>
    <t>SSR2 beskrivelse</t>
  </si>
  <si>
    <t>SSR1 skildring</t>
  </si>
  <si>
    <t>Tags brukt i OSM, antall</t>
  </si>
  <si>
    <t>OSM tag</t>
  </si>
  <si>
    <t>tillegg</t>
  </si>
  <si>
    <t>fixme</t>
  </si>
  <si>
    <t>tag</t>
  </si>
  <si>
    <t>kommentar</t>
  </si>
  <si>
    <t>bebyggelse</t>
  </si>
  <si>
    <t>bebyggelsesområder</t>
  </si>
  <si>
    <t>by</t>
  </si>
  <si>
    <t>By</t>
  </si>
  <si>
    <t>Tettbygd sted som er større og (til dels) innehar viktigere funksjoner enn andre tettbygde steder / tettsteder.</t>
  </si>
  <si>
    <t>Bymessig tettsted med handels- og servicefunksjoner og konsentrert bebyggelse, jf. kommunelovens § 3 punkt 5. Skriv vedtaksdato i merknadsfeltet om bystatus er gitt før eller etter 1996.</t>
  </si>
  <si>
    <t>"source:population = SSB", 6
"is_in:country = Norway", 4
"is_in = Vestfold, Norway", 8
"email = postmottak@kristiansand.kommune.no", 2
"place = town", 53
"place = city", 3</t>
  </si>
  <si>
    <t>place=town</t>
  </si>
  <si>
    <t>Mostly towns; already mapped</t>
  </si>
  <si>
    <t>tettsted</t>
  </si>
  <si>
    <t>Tettsted</t>
  </si>
  <si>
    <t>Mindre, bymessig bebygd område med sentrumskarakter.</t>
  </si>
  <si>
    <t>Mindre, bymessig bebygd område med sentrumskarakter</t>
  </si>
  <si>
    <t>"place = neighbourhood", 20
"type = multipolygon", 9
"place = hamlet", 18
"place = village", 212
"place = quarter", 24
"place = suburb", 46</t>
  </si>
  <si>
    <t>place=village</t>
  </si>
  <si>
    <t>tettbebyggelse</t>
  </si>
  <si>
    <t>Tettbebyggelse</t>
  </si>
  <si>
    <t>Bebygd område uten sentrumskarakter.</t>
  </si>
  <si>
    <t>Mindre, bebygd område uten sentrumskarakter, f.eks. boligområde</t>
  </si>
  <si>
    <t>"place = quarter", 62
"place = suburb", 97
"place = hamlet", 55
"place = neighbourhood", 187
"place = village", 80</t>
  </si>
  <si>
    <t>place=quarter</t>
  </si>
  <si>
    <t>fixme=consider place=suburb, village or hamlet</t>
  </si>
  <si>
    <t>Mostly urban areas. 60% neighbourhood in test cases</t>
  </si>
  <si>
    <t>bygdelagBygd</t>
  </si>
  <si>
    <t>Bygdelag (bygd)</t>
  </si>
  <si>
    <t>Stort, uregulert gards- og boligområde.</t>
  </si>
  <si>
    <t>Stort, uregulert gards- og boligområde</t>
  </si>
  <si>
    <t>"place = neighbourhood", 19
"place = hamlet", 168
"place = village", 199
"place = suburb", 19</t>
  </si>
  <si>
    <t>fixme=consider place=hamlet</t>
  </si>
  <si>
    <t>60/20 village/hamlet in test cases</t>
  </si>
  <si>
    <t>grend</t>
  </si>
  <si>
    <t>Grend</t>
  </si>
  <si>
    <t>Mindre uregulert gards-, seter- og boligområde.</t>
  </si>
  <si>
    <t>Mindre, uregulert gards-, seter- og boligområde</t>
  </si>
  <si>
    <t>"place = neighbourhood", 63
"place = hamlet", 786
"place = village", 37
"place = farm", 40</t>
  </si>
  <si>
    <t>place=hamlet</t>
  </si>
  <si>
    <t>boligfelt</t>
  </si>
  <si>
    <t>Boligfelt</t>
  </si>
  <si>
    <t>Regulert boligområde.</t>
  </si>
  <si>
    <t>Regulert boligområde</t>
  </si>
  <si>
    <t>"place = neighbourhood", 808
"place = quarter", 175
"place = suburb", 49</t>
  </si>
  <si>
    <t>industriområde</t>
  </si>
  <si>
    <t>Industriområde</t>
  </si>
  <si>
    <t>Større, sammenhengende område til industri- og næringsformål.</t>
  </si>
  <si>
    <t>Større, sammenhengende område til industri- og næringsformål</t>
  </si>
  <si>
    <t>"place = neighbourhood", 42
"type = multipolygon", 12
"man_made = wastewater_plant", 2
"place = locality", 26
"landuse = industrial", 52
"place = farm", 2
"natural = cape", 2
"place = quarter", 19
"landuse = retail", 2
"building = industrial", 4
"place = suburb", 7
"man_made = works", 2</t>
  </si>
  <si>
    <t>bydel</t>
  </si>
  <si>
    <t>Bydel</t>
  </si>
  <si>
    <t>Kulturmessig del av by.</t>
  </si>
  <si>
    <t>Kulturmessig del av by, f.eks. Gamlebyen, Posebyen, Nordnes, Lade, Tromsdalen. (Se også Adm. Bydel 269.)</t>
  </si>
  <si>
    <t>"place = neighbourhood", 14
"place = village", 4
"place = quarter", 21
"place = suburb", 119</t>
  </si>
  <si>
    <t>place=suburb</t>
  </si>
  <si>
    <t>hyttefelt</t>
  </si>
  <si>
    <t>Hyttefelt</t>
  </si>
  <si>
    <t>Offentlig eller privat hyttefelt. Regulert område med høy utnyttelsesgrad.</t>
  </si>
  <si>
    <t>Offentlig/privat hyttefelt eller relativt tettbygd hytteområde.</t>
  </si>
  <si>
    <t>"place = neighbourhood", 179
"landuse = residential", 12
"place = quarter", 9</t>
  </si>
  <si>
    <t>place=neighbourhood</t>
  </si>
  <si>
    <t>torg</t>
  </si>
  <si>
    <t>Plass/torg</t>
  </si>
  <si>
    <t>Stor, åpen plass i en by.</t>
  </si>
  <si>
    <t>I tettsted eller by</t>
  </si>
  <si>
    <t>"place = square", 47</t>
  </si>
  <si>
    <t>place=square</t>
  </si>
  <si>
    <t>tettsteddel</t>
  </si>
  <si>
    <t>Tettsteddel</t>
  </si>
  <si>
    <t>Kulturmessig del av tettsted.</t>
  </si>
  <si>
    <t>Kulturmessig del av tettsted. (Se også navnetype 101 Tettsted.)</t>
  </si>
  <si>
    <t>"place = quarter", 6</t>
  </si>
  <si>
    <t>historiskBosetting</t>
  </si>
  <si>
    <t>Historisk bosetting</t>
  </si>
  <si>
    <t>Ubebodd eller forlatt bosetting med bestående bygningsmasse eller ruiner.</t>
  </si>
  <si>
    <t>En eller flere ubebodde/forlatte bygninger av en større bygningsmasse/bosetting, særlig aktuelt for Svalbard og andre polare områder. Kan være både stående bygninger og ruiner. F.eks Pyramiden og Grumantbyen (Svalbard).</t>
  </si>
  <si>
    <t>"historic = shieling", 2
"place = locality", 2
"place = farm", 3</t>
  </si>
  <si>
    <t>place=locality</t>
  </si>
  <si>
    <t>bolighus</t>
  </si>
  <si>
    <t>borettslag</t>
  </si>
  <si>
    <t>Borettslag</t>
  </si>
  <si>
    <t>Bofellesskap i blokk eller flerbebyggelse.</t>
  </si>
  <si>
    <t>Bofellesskap, vanligvis blokkbebyggelse</t>
  </si>
  <si>
    <t>"place = isolated_dwelling", 2</t>
  </si>
  <si>
    <t>eneboligMindreBoligbygg</t>
  </si>
  <si>
    <t>Enebolig/mindre boligbygg</t>
  </si>
  <si>
    <t>Navn på mindre eiendom for fast bosetting. Hovedsakelig eiendom hvor eier kan bestemme skrivemåten (jf. § 8 i lov om stadnamn og § 54 i matrikkelforskriften). Kan også omfatte eget navn på bygg, eller våningshus/gardsbruk som ikke er gitt eget matrikkelnummer.</t>
  </si>
  <si>
    <t>Navn på mindre eiendom for fast bosetting. Hovedsaklig eiendom hvor eier  kan bestemme skrivemåten (jf. § 8 i lov om stadnamn og § 54 i matrikkelforskriften). Kan også omfatte eget navn på bygg, eller våningshus/gardsbruk som ikke er eiendom. Gitt eget matrikkelnummer på større</t>
  </si>
  <si>
    <t>"place = isolated_dwelling", 3684
"place = farm", 1056</t>
  </si>
  <si>
    <t>place=isolated_dwelling</t>
  </si>
  <si>
    <t>Mostly small farms in rural areas; old villas in urban areas</t>
  </si>
  <si>
    <t>fritidsbolig</t>
  </si>
  <si>
    <t>Fritidsbolig (hytte,  sommerhus)</t>
  </si>
  <si>
    <t>Eget navn på hytter og hus som ikke er ment for fast bosetting.</t>
  </si>
  <si>
    <t>Hus som ikke er ment for fast bosetting</t>
  </si>
  <si>
    <t>"historic = shieling", 733
"place = locality", 240
"building = cabin", 3900
"place = isolated_dwelling", 4965</t>
  </si>
  <si>
    <t>gammelBosettingsplass</t>
  </si>
  <si>
    <t>Gammel bosettingsplass</t>
  </si>
  <si>
    <t>Nedlagt bruk, seter, boplass hvor bygningen(e) er borte eller bare tuftene er tilbake.</t>
  </si>
  <si>
    <t>Nedlagt bruk, seter, boplass, gamme. Merk! Husa er borte eller kun ruin</t>
  </si>
  <si>
    <t>"historic = shieling", 1081
"place = locality", 5858
"historic = ruins", 844</t>
  </si>
  <si>
    <t xml:space="preserve">A systematic review of high definition aerial photos for Vinje reveiled that most sites had visible ruins </t>
  </si>
  <si>
    <t>boligblokk</t>
  </si>
  <si>
    <t>Boligblokk</t>
  </si>
  <si>
    <t>Stort (bolig)hus av mur, betong med over fire boliger som har felles trapp(er) eller heis(er).</t>
  </si>
  <si>
    <t>Stort boligbygg med 2 eller flere etasjer hvor det er 5 eller flere boligenheter</t>
  </si>
  <si>
    <t>"building = apartments", 2</t>
  </si>
  <si>
    <t>building=apartments</t>
  </si>
  <si>
    <t>fritidsanlegg</t>
  </si>
  <si>
    <t>park</t>
  </si>
  <si>
    <t>Park</t>
  </si>
  <si>
    <t>Kultivert grøntområde i by/tettsted.</t>
  </si>
  <si>
    <t>Kultivert område med eller uten trær, kolonihage (i by eller tettbygd strøk)</t>
  </si>
  <si>
    <t>"leisure = park", 31
"natural = wood", 3
"landuse = cemetery", 2
"type = multipolygon", 4</t>
  </si>
  <si>
    <t>leisure=park</t>
  </si>
  <si>
    <t>idrettshall</t>
  </si>
  <si>
    <t>Idrettshall</t>
  </si>
  <si>
    <t>Alle typer innendørsanlegg, f.eks. ishall, svømmehall, idrettshall og ridehall.</t>
  </si>
  <si>
    <t>Alle typer innendørsanlegg, f.eks. ishall, svømmehall, idrettshall</t>
  </si>
  <si>
    <t>"building = public", 2
"amenity = sports_centre", 23
"building = yes", 4</t>
  </si>
  <si>
    <t>amenity=sports_centre</t>
  </si>
  <si>
    <t>idrettsanlegg</t>
  </si>
  <si>
    <t>Idrettsanlegg</t>
  </si>
  <si>
    <t>Alle typer utendørsanlegg for idrett.</t>
  </si>
  <si>
    <t>Alle typer utendørsanlegg. Skriv type i merknadsfeltet, f.eks. Ridebane, fotballbane.</t>
  </si>
  <si>
    <t>"leisure = sports_centre", 8
"type = multipolygon", 5
"place = locality", 18
"sport = soccer", 32
"leisure = pitch", 83
"piste:type = ski_jump", 8
"surface = grass", 5
"sport = horse_racing", 5</t>
  </si>
  <si>
    <t>leisure=pitch</t>
  </si>
  <si>
    <t>skiheis</t>
  </si>
  <si>
    <t>Skiheis</t>
  </si>
  <si>
    <t>Skitrekk og stolheis i skianlegg.</t>
  </si>
  <si>
    <t>Skitrekk og stolheis i skianlegg</t>
  </si>
  <si>
    <t>aerialway=drag_lift</t>
  </si>
  <si>
    <t>fixme=consider the other aerialway types</t>
  </si>
  <si>
    <t>alpinanlegg</t>
  </si>
  <si>
    <t>Slalåm- og utforbakke</t>
  </si>
  <si>
    <t>Anlegg for slalåm, utfor, snøbrett osv.</t>
  </si>
  <si>
    <t>Alle typer regulerte alpinanlegg</t>
  </si>
  <si>
    <t>"landuse = winter_sports", 2
"place = locality", 4
"piste:type = downhill", 2</t>
  </si>
  <si>
    <t>landuse=winter_sports; piste:type=downhill</t>
  </si>
  <si>
    <t>badeplass</t>
  </si>
  <si>
    <t>Badeplass</t>
  </si>
  <si>
    <t>Offentlig eller privat badeplass.</t>
  </si>
  <si>
    <t>Offentlig og privat badeplass</t>
  </si>
  <si>
    <t>"surface = sand", 12
"layer = 2", 6
"leisure = swimming_area", 20
"place = locality", 24
"natural = beach", 12
"description:no = Stranda har fått navnet sitt etter den rødfarget sanden, denne rødfargen stammer fra ned rustet tyskt materiell som ble ligende her etter 2. verdenskrig, som nettopp minner om kanelfarge.", 2</t>
  </si>
  <si>
    <t>leisure=swimming_area</t>
  </si>
  <si>
    <t>fixme=consider natural=beach + surface=sand</t>
  </si>
  <si>
    <t>fornøyelsespark</t>
  </si>
  <si>
    <t>Fornøyelsespark</t>
  </si>
  <si>
    <t>Store, regulerte anlegg.</t>
  </si>
  <si>
    <t>Bare store, regulerte anlegg</t>
  </si>
  <si>
    <t>tourism=theme_park</t>
  </si>
  <si>
    <t>gardsbebyggelse</t>
  </si>
  <si>
    <t>bruk</t>
  </si>
  <si>
    <t>Bruk</t>
  </si>
  <si>
    <t>Navn på (landbruks)eiendom med ett eller flere bruksnummer under ett gardsnummer, jf. lov om stadnamn §§ 2 og 8.</t>
  </si>
  <si>
    <t>Bruksnavn, vanligvis (større) landbrukseiendom (jf. § 8 i lov om stadnamn,  og § 54 i matrikkelforskriften). Navn på én eiendom med ett bruksnummer under ett gardsnummer. Objektkoordinaten ligger normalt på våningshuset (hvis dette finnes).</t>
  </si>
  <si>
    <t>"place = farm", 28706</t>
  </si>
  <si>
    <t>place=farm</t>
  </si>
  <si>
    <t>Very important named places in rural areas</t>
  </si>
  <si>
    <t>seterStøl</t>
  </si>
  <si>
    <t>Seter (sel, støl)</t>
  </si>
  <si>
    <t>Enklere landbruksbebyggelse med hus. Kan ha periodisk fast bosetting, vanligvis sommerstid.</t>
  </si>
  <si>
    <t>Enklere landbruksbebyggelse. Kan ha periodisk fast bosetting, vanligvis sommerstid</t>
  </si>
  <si>
    <t>"historic = shieling", 6312
"place = locality", 5176
"building = cabin", 612
"place = isolated_dwelling", 1132</t>
  </si>
  <si>
    <t>historic=shieling</t>
  </si>
  <si>
    <t>historic=summer_mountain_farm also used</t>
  </si>
  <si>
    <t>byggForJordbrukFiskeOgFangst</t>
  </si>
  <si>
    <t>Bygg for jordbruk, fiske og fangst</t>
  </si>
  <si>
    <t>Til primærnæring, f.eks. naust, uthus, sommerfjøs eller gamme.</t>
  </si>
  <si>
    <t>Bu, naust, uthus, fjøs, gamme</t>
  </si>
  <si>
    <t>"building = yes", 77
"historic = shieling", 316
"place = locality", 1639
"building = farm_auxiliary", 532</t>
  </si>
  <si>
    <t>eiendom</t>
  </si>
  <si>
    <t>Eiendom</t>
  </si>
  <si>
    <t>Navn på eiendom som ikke er bruksnavn, ev. felles stedsnavn for flere eiendommer.</t>
  </si>
  <si>
    <t>Eiendomsnavn (Skal IKKE brukes ved senere registreringer)</t>
  </si>
  <si>
    <t>"historic = shieling", 54
"place = locality", 856
"place = farm", 134</t>
  </si>
  <si>
    <t>gjerde</t>
  </si>
  <si>
    <t>Gjerde</t>
  </si>
  <si>
    <t>Oppsatt stengsel, vern, skille mellom jordstykker, eiendommer eller beiteområder.</t>
  </si>
  <si>
    <t>Steingjerde, tregjerde o.l.</t>
  </si>
  <si>
    <t>"place = locality", 4</t>
  </si>
  <si>
    <t>barrier=fence</t>
  </si>
  <si>
    <t>gard</t>
  </si>
  <si>
    <t>Gard</t>
  </si>
  <si>
    <t>Felles navn for et helt gardsnummer (jf. § 8 i lov om stadnamn).</t>
  </si>
  <si>
    <t>Gardsnavn; felles navn for et helt gardsnummer (jf. § 8 i lov om stadnamn),  og som ett eller flere bruksnummer er knyttet til. Punktet/koordinaten ligger normalt i tunet på et sentralt plassert bruk. Hvis to eller flere garder har forskjellige objekt for hvert gardsnummer. (Se også navnetype 108 Bruk.) gardsnummer, men samme navn, registreres det ett geografisk</t>
  </si>
  <si>
    <t>"place = hamlet", 1932
"place = farm", 8185</t>
  </si>
  <si>
    <t>Used for main farm in this area. 60/40 hamlet/farm in test cases.</t>
  </si>
  <si>
    <t>navnegard</t>
  </si>
  <si>
    <t>Navnegard</t>
  </si>
  <si>
    <t>Opprinnelig navn fra før garden ble oppdelt i gards- og bruksenheter. Navnegardens utbredelse kan omfatte flere enn ett gardsnummer.</t>
  </si>
  <si>
    <t>Opprinnelig gardsnavn fra før garden ble oppdelt i gards- og bruksenheter. Navnegard brukes om to eller flere gardsnummer, og gardsnumrene oppgis i merknadsfeltet. Objektet representeres med ett punkt / én koordinat plassert i tunet til ett sentralt bruk. Dette er hovedpunktet for navneobjektet (navneenheten). Arealet for navnegarden vises med et punkt/koordinat på to eller flere bruk i utkanten av området som viser utbredelsen av navnet.</t>
  </si>
  <si>
    <t>"place = hamlet", 450
"place = farm", 113</t>
  </si>
  <si>
    <t>Used for group of farms; important named place for rural areas</t>
  </si>
  <si>
    <t>institusjoner</t>
  </si>
  <si>
    <t>skole</t>
  </si>
  <si>
    <t>Skole</t>
  </si>
  <si>
    <t>Offentlig og privat skole.</t>
  </si>
  <si>
    <t>Offentlig og privat skole</t>
  </si>
  <si>
    <t>"building = yes", 78
"grades = 1-10", 25
"amenity = school", 177
"fee = no", 137
"grades = 11-14", 18
"isced:level = 1;2", 29
"place = locality", 51
"grades = 1-7", 74
"isced:level = 3", 20
"was:amenity = school", 8
"disused:amenity = school", 8
"operator:type = public", 121
"fee = yes", 14
"building = school", 13
"isced:level = 2", 20
"isced:level = 1", 82
"grades = 1-4", 8
"grades = 8-10", 20
"operator:type = private", 14
"operator:type = public/government", 16</t>
  </si>
  <si>
    <t>amenity=school</t>
  </si>
  <si>
    <t>sykehus</t>
  </si>
  <si>
    <t>Sykehus</t>
  </si>
  <si>
    <t>Offentlig og privat sykehus.</t>
  </si>
  <si>
    <t>Offentlig og privat sykehus</t>
  </si>
  <si>
    <t>"amenity = hospital", 18
"healthcare = hospital", 5</t>
  </si>
  <si>
    <t>amenity=hospital</t>
  </si>
  <si>
    <t>helseinstitusjon</t>
  </si>
  <si>
    <t>Helseinstitusjon</t>
  </si>
  <si>
    <t>Aldershjem, rekreasjonshjem og lignende.</t>
  </si>
  <si>
    <t>Aldershjem, rekreasjonshjem o.l.</t>
  </si>
  <si>
    <t>"building = yes", 4
"amenity = social_facility", 3
"place = locality", 6
"amenity = nursing_home", 81</t>
  </si>
  <si>
    <t>amenity=nursing_home</t>
  </si>
  <si>
    <t>vaktstasjonBeredsskapsbygning</t>
  </si>
  <si>
    <t>Vaktstasjon/beredsskapsby gning</t>
  </si>
  <si>
    <t>Bygning for politi/brann/los/toll/ambulanse/fly- og skipsovervåkning.</t>
  </si>
  <si>
    <t>Bygning for politi/brann/los/toll/ambulanse/fly- og skipsovervåkning</t>
  </si>
  <si>
    <t>"place = locality", 2
"building = civic", 10</t>
  </si>
  <si>
    <t>building=civic</t>
  </si>
  <si>
    <t>militærtByggAnlegg</t>
  </si>
  <si>
    <t>Militært bygg/anlegg</t>
  </si>
  <si>
    <t>Militærleir.</t>
  </si>
  <si>
    <t>Militærleir, militært bygg</t>
  </si>
  <si>
    <t>"place = neighbourhood", 4
"natural = bay", 2
"landuse = military", 9
"place = locality", 3</t>
  </si>
  <si>
    <t>landuse=military</t>
  </si>
  <si>
    <t>barnehage</t>
  </si>
  <si>
    <t>Barnehage</t>
  </si>
  <si>
    <t>Offentlig og privat barnehage.</t>
  </si>
  <si>
    <t>Offentlig og privat barnehage</t>
  </si>
  <si>
    <t>"capacity = 66", 2
"min_age = 1", 4
"operator:type = public", 4
"no-barnehage:nsrid = 1016062", 2
"no-barnehage:nsrid = 1025321", 2
"barrier = fence", 2
"amenity = kindergarten", 6
"max_age = 5", 4
"capacity = 56", 2</t>
  </si>
  <si>
    <t>amenity=kindergarten</t>
  </si>
  <si>
    <t>rådhus</t>
  </si>
  <si>
    <t>Rådhus (kommune, fylke, stat)</t>
  </si>
  <si>
    <t>Administrasjonssenteret i den administrative enheten, f.eks. stat, fylke, kommune.</t>
  </si>
  <si>
    <t>Administrasjonssenteret (-huset) i den administrative enheten</t>
  </si>
  <si>
    <t>"government = administrative", 2
"admin_level = 4", 2
"building = yes", 2
"opening_hours = Mo-Fr 08:00-15:45", 2
"place = locality", 2
"amenity = townhall", 13
"wheelchair = yes", 3
"office = government", 2
"building = civic", 2</t>
  </si>
  <si>
    <t>amenity=townhall</t>
  </si>
  <si>
    <t>universitetHøgskole</t>
  </si>
  <si>
    <t>Universitet/høgskole</t>
  </si>
  <si>
    <t>Offentlig og privat høgskole og universitet.</t>
  </si>
  <si>
    <t>Offentlig og privat høgskole og universitet</t>
  </si>
  <si>
    <t>"amenity = school", 3
"amenity = university", 4</t>
  </si>
  <si>
    <t>amenity=university</t>
  </si>
  <si>
    <t>fengsel</t>
  </si>
  <si>
    <t>Fengsel</t>
  </si>
  <si>
    <t>Bygning der arresterte eller dømte personer soner straff.</t>
  </si>
  <si>
    <t>Fengsel, arbeidskoloni</t>
  </si>
  <si>
    <t>amenity=prison</t>
  </si>
  <si>
    <t>forskningsstasjon</t>
  </si>
  <si>
    <t>Forskningsstasjon</t>
  </si>
  <si>
    <t>Bemannet forskningsstasjon eller meteorologisk stasjon med bygningsmasse.</t>
  </si>
  <si>
    <t>Meteorologisk stasjon eller forskningsstasjon med bygningsmasse i polare områder som Jan Mayen, Hopen, Zeppelin eller Hornsund.</t>
  </si>
  <si>
    <t>building=yes</t>
  </si>
  <si>
    <t>næring</t>
  </si>
  <si>
    <t>fabrikk</t>
  </si>
  <si>
    <t>Fabrikk</t>
  </si>
  <si>
    <t>Større industrivirksomhet.</t>
  </si>
  <si>
    <t>Større industrivirksomhet</t>
  </si>
  <si>
    <t>"place = neighbourhood", 10
"place = quarter", 2
"type = multipolygon", 2
"craft = sawmill", 2
"industrial = brewery", 2
"place = locality", 22
"landuse = industrial", 19
"email = kundesenter@hansaborg.no", 2
"industrial = shipyard", 2
"industrial = factory", 60
"building = industrial", 46</t>
  </si>
  <si>
    <t>building=industrial; industrial=factory</t>
  </si>
  <si>
    <t>annenIndustri-OgLagerbygning</t>
  </si>
  <si>
    <t>Annen industri- og  lagerbygning</t>
  </si>
  <si>
    <t>Mindre industri- og produksjonsbedrift eller lager.</t>
  </si>
  <si>
    <t>Mindre industri-, produksjon- og lagervirksomhet</t>
  </si>
  <si>
    <t>"place = neighbourhood", 4
"building = yes", 2
"place = locality", 16
"building = industrial", 62</t>
  </si>
  <si>
    <t>building=industrial</t>
  </si>
  <si>
    <t>forretningsbygg</t>
  </si>
  <si>
    <t>Forretningsbygg</t>
  </si>
  <si>
    <t>Bygning for kontor-, salg- og servicevirksomhet.</t>
  </si>
  <si>
    <t>Hus for kontor- og servicevirksomhet</t>
  </si>
  <si>
    <t>"amenity = cafe", 4
"place = neighbourhood", 4
"building = yes", 2
"place = locality", 6
"place = farm", 2
"place = quarter", 3
"building = commercial", 21
"building = civic", 2</t>
  </si>
  <si>
    <t>building=commercial</t>
  </si>
  <si>
    <t>hotell</t>
  </si>
  <si>
    <t>Hotell</t>
  </si>
  <si>
    <t>Større, offentlig godkjent overnattingssted.</t>
  </si>
  <si>
    <t>Større offentlig godkjent overnattingssted</t>
  </si>
  <si>
    <t>"tourism = chalet", 2
"building = yes", 3
"building = hotel", 15
"place = locality", 11
"place = isolated_dwelling", 2
"tourism = apartment", 2
"tourism = hotel", 17</t>
  </si>
  <si>
    <t>tourism=hotel</t>
  </si>
  <si>
    <t>pensjonat</t>
  </si>
  <si>
    <t>Pensjonat</t>
  </si>
  <si>
    <t>Mindre, offentlig godkjent overnattingssted.</t>
  </si>
  <si>
    <t>Mindre offentlig godkjent overnattingssted</t>
  </si>
  <si>
    <t>"place = hamlet", 2
"building = yes", 4
"building = hotel", 3
"place = locality", 7
"tourism = guest_house", 7</t>
  </si>
  <si>
    <t>tourism=guest_house</t>
  </si>
  <si>
    <t>turisthytte</t>
  </si>
  <si>
    <t>Turisthytte</t>
  </si>
  <si>
    <t>Overnattingssted utenfor tettbygd område.</t>
  </si>
  <si>
    <t>Overnattingssted utenfor tettbygd område</t>
  </si>
  <si>
    <t>"building = house", 2
"dnt:lock = yes", 13
"building = yes", 6
"capacity = 4", 4
"fee = yes", 2
"historic = shieling", 6
"dog = no", 2
"tourism = chalet", 53
"capacity = 24", 2
"ski = yes", 2
"dnt:iid = 2019", 2
"place = locality", 12
"amenity = restaurant", 2
"note:no = kystledhytte", 2
"dnt:iid = 416", 2
"dnt:iid = 417", 2
"dnt:iid = 345", 2
"amenity = cafe", 11
"dnt:classification = ubetjent", 11
"dnt:classification = servering", 5
"capacity = 8", 2
"building = cabin", 10
"shelter_type = basic_hut", 3
"tourism = wilderness_hut", 11
"capacity = 32", 2
"capacity = 11", 2
"dnt:iid = 1489", 2
"network = Den Norske Turistforening", 10
"hiking = yes", 5
"tourism = alpine_hut", 4
"amenity = shelter", 3
"dnt:iid = 251", 2</t>
  </si>
  <si>
    <t>tourism=wilderness_hut</t>
  </si>
  <si>
    <t>fixme=consider tourism=alpine_hut or tourism=chalet</t>
  </si>
  <si>
    <t>campingplass</t>
  </si>
  <si>
    <t>Campingplass</t>
  </si>
  <si>
    <t>Alle typer, med/uten campinghytter, campingvogner og telt.</t>
  </si>
  <si>
    <t>Alle typer, med/uten campinghytter, campingvogner og telt</t>
  </si>
  <si>
    <t>"caravans = yes", 2
"tents = yes", 2
"dryer = yes", 2
"email = roligheden@roligheden.no", 2
"power_supply:voltage = 230", 2
"barrier = fence", 2
"tourism = camp_site", 16
"washing_machine = yes", 2
"stars = 4", 2
"power_supply = cee_7_3", 2
"internet_access = wlan", 2</t>
  </si>
  <si>
    <t>tourism=camp_site</t>
  </si>
  <si>
    <t>oppdrettsanlegg</t>
  </si>
  <si>
    <t>Fiskeoppdrettsanlegg</t>
  </si>
  <si>
    <t>Anlegg for foring og stell av husdyr til de kan settes i produksjon eller slaktes; oppforing av fisk (og andre sjødyr) i fangenskap.</t>
  </si>
  <si>
    <t>På land, i sjø og i ferskvann</t>
  </si>
  <si>
    <t>"landuse = industrial", 2</t>
  </si>
  <si>
    <t>landuse=aquaculture</t>
  </si>
  <si>
    <t>serveringssted</t>
  </si>
  <si>
    <t>Serveringssted</t>
  </si>
  <si>
    <t>Serveringssted uten overnatting.</t>
  </si>
  <si>
    <t>Serveringssted utenfor tettbygd område</t>
  </si>
  <si>
    <t>"amenity = cafe", 4
"building = yes", 2</t>
  </si>
  <si>
    <t>amenity=cafe</t>
  </si>
  <si>
    <t>ferskvann</t>
  </si>
  <si>
    <t>detaljerIFerskvann</t>
  </si>
  <si>
    <t>annenVanndetalj</t>
  </si>
  <si>
    <t>Vanndetalj</t>
  </si>
  <si>
    <t>Andre navngitte forhold i ferskvann.</t>
  </si>
  <si>
    <t>Alle typer. Skriv forklaring i merknadsfeltet.</t>
  </si>
  <si>
    <t>"place = locality", 5</t>
  </si>
  <si>
    <t>ferskvannskontur</t>
  </si>
  <si>
    <t>sund</t>
  </si>
  <si>
    <t>Sund</t>
  </si>
  <si>
    <t>Innsnevret område i vann eller vassdrag.</t>
  </si>
  <si>
    <t>Innsnevret område i vann eller vassdrag</t>
  </si>
  <si>
    <t>"place = locality", 2
"natural = strait", 11</t>
  </si>
  <si>
    <t>natural=strait</t>
  </si>
  <si>
    <t>vik</t>
  </si>
  <si>
    <t>Vik</t>
  </si>
  <si>
    <t>Kil eller bukt i vann eller vassdrag.</t>
  </si>
  <si>
    <t>Kil, bukt i vann eller vassdrag</t>
  </si>
  <si>
    <t>"natural = bay", 136
"natural = water", 7</t>
  </si>
  <si>
    <t>natural=bay</t>
  </si>
  <si>
    <t>øy</t>
  </si>
  <si>
    <t>Øy</t>
  </si>
  <si>
    <t>Tørt landområde i ferskvann atskilt fra fastlandet.</t>
  </si>
  <si>
    <t>Tørt landområde i ferskvann atskilt fra fastlandet</t>
  </si>
  <si>
    <t>"place = islet", 7
"place = locality", 2
"natural = shoal", 2
"place = island", 3</t>
  </si>
  <si>
    <t>place=island</t>
  </si>
  <si>
    <t>holme</t>
  </si>
  <si>
    <t>Holme</t>
  </si>
  <si>
    <t>Liten øy i ferskvann.</t>
  </si>
  <si>
    <t>Liten øy i ferskvann</t>
  </si>
  <si>
    <t>"place = islet", 78
"natural = wood", 20
"leaf_type = needleleaved", 4</t>
  </si>
  <si>
    <t>place=islet</t>
  </si>
  <si>
    <t>halvøy</t>
  </si>
  <si>
    <t>Halvøy</t>
  </si>
  <si>
    <t>Større nes i ferskvann med smalt eid mot fastland.</t>
  </si>
  <si>
    <t>Større nes i ferskvann med smalt eid mot fastland</t>
  </si>
  <si>
    <t>"natural = cape", 26</t>
  </si>
  <si>
    <t>natural=cape</t>
  </si>
  <si>
    <t>nes</t>
  </si>
  <si>
    <t>Nes</t>
  </si>
  <si>
    <t>Landområde stikkende ut i ferskvann.</t>
  </si>
  <si>
    <t>Landområde stikkende ut i ferskvann</t>
  </si>
  <si>
    <t>"natural = cape", 231</t>
  </si>
  <si>
    <t>eid</t>
  </si>
  <si>
    <t>Eid</t>
  </si>
  <si>
    <t>Lavt eller smalt parti mellom to vannkanter (elv eller vann).</t>
  </si>
  <si>
    <t>Landstripe med vann på begge sider som binder sammen to landområder</t>
  </si>
  <si>
    <t>"place = locality", 5
"natural = strait", 4</t>
  </si>
  <si>
    <t>strand</t>
  </si>
  <si>
    <t>Strand</t>
  </si>
  <si>
    <t>Sand-, grus- eller steindekket område i vannkanten ved elv eller vann.</t>
  </si>
  <si>
    <t>Sand-, grus- eller steindekket område i vannkanten</t>
  </si>
  <si>
    <t>"natural = beach", 4
"place = locality", 4
"type = multipolygon", 2</t>
  </si>
  <si>
    <t>natural=beach</t>
  </si>
  <si>
    <t>øygruppe</t>
  </si>
  <si>
    <t>Øygruppe</t>
  </si>
  <si>
    <t>To eller flere øyer i ferskvann.</t>
  </si>
  <si>
    <t>To eller flere øyer i ferskvann</t>
  </si>
  <si>
    <t>grunnerIFerskvann</t>
  </si>
  <si>
    <t>skjær</t>
  </si>
  <si>
    <t>Skjær</t>
  </si>
  <si>
    <t>Fjell eller stein i vannflaten.</t>
  </si>
  <si>
    <t>Fjell eller stein i vannflaten</t>
  </si>
  <si>
    <t>"natural = shoal", 2</t>
  </si>
  <si>
    <t>båe</t>
  </si>
  <si>
    <t>Båe</t>
  </si>
  <si>
    <t>Fjell eller stein under vannflaten.</t>
  </si>
  <si>
    <t>Fjell eller stein under vannflaten</t>
  </si>
  <si>
    <t>seamark:type=rock</t>
  </si>
  <si>
    <t>NB: Position not accurate for navigation</t>
  </si>
  <si>
    <t>grunne</t>
  </si>
  <si>
    <t>Grunne</t>
  </si>
  <si>
    <t>Lite område under vann som hever seg fra området rundt.</t>
  </si>
  <si>
    <t>Lite område under vann</t>
  </si>
  <si>
    <t>"place = islet", 2
"seamark:type = rock", 2</t>
  </si>
  <si>
    <t>natural=shoal</t>
  </si>
  <si>
    <t>banke</t>
  </si>
  <si>
    <t>Banke</t>
  </si>
  <si>
    <t>Flatt, større undervannsområde.</t>
  </si>
  <si>
    <t>Flatt, større undervannsområde</t>
  </si>
  <si>
    <t>rennendeVann</t>
  </si>
  <si>
    <t>elv</t>
  </si>
  <si>
    <t>Elv</t>
  </si>
  <si>
    <t>Rennende vann i naturlig vannvei, vanligvis bredere enn 3 meter.</t>
  </si>
  <si>
    <t>Rennende vann i naturlig vannvei, vanligvis bredere enn 3 meter</t>
  </si>
  <si>
    <t>"width = 3", 6
"width = 2", 10
"waterway = river", 137
"waterway = stream", 18</t>
  </si>
  <si>
    <t>waterway=river</t>
  </si>
  <si>
    <t>bekk</t>
  </si>
  <si>
    <t>Bekk</t>
  </si>
  <si>
    <t>Rennende vann i naturlig vannvei, vanligvis smalere enn 3 meter.</t>
  </si>
  <si>
    <t>Rennende vann i naturlig vannvei, vanligvis smalere enn 3 meter</t>
  </si>
  <si>
    <t>"tunnel = culvert", 14
"layer = -1", 38
"width = 2", 53
"width = 3", 23
"waterway = river", 55
"waterway = stream", 266</t>
  </si>
  <si>
    <t>waterway=stream</t>
  </si>
  <si>
    <t>grøft</t>
  </si>
  <si>
    <t>Grøft</t>
  </si>
  <si>
    <t>Rennende vann i oppgravd vannvei, f.eks. dreneringsgrøft i myr.</t>
  </si>
  <si>
    <t>Rennende vann i oppgravd vannvei , f.eks. dreneringsgrøft i myr</t>
  </si>
  <si>
    <t>waterway=drain</t>
  </si>
  <si>
    <t>foss</t>
  </si>
  <si>
    <t>Foss</t>
  </si>
  <si>
    <t>Vann i tilnærmet fritt fall.</t>
  </si>
  <si>
    <t>Vann i tilnærmet fritt fall</t>
  </si>
  <si>
    <t>"natural = waterfall", 19</t>
  </si>
  <si>
    <t>natural=waterfall</t>
  </si>
  <si>
    <t>stryk</t>
  </si>
  <si>
    <t>Stryk</t>
  </si>
  <si>
    <t>Del av elv, bekk der vannet går i stryk (og skiller seg tydelig fra resten av elva/bekken).</t>
  </si>
  <si>
    <t>Del av elv, bekk der vannet går i stryk (og skiller seg tydelig fra resten av elva/bekken)</t>
  </si>
  <si>
    <t>"waterway = rapids", 4
"place = suburb", 2</t>
  </si>
  <si>
    <t>waterway=rapids</t>
  </si>
  <si>
    <t>Deprecated? Still used in 47.000 places</t>
  </si>
  <si>
    <t>os</t>
  </si>
  <si>
    <t>Os</t>
  </si>
  <si>
    <t>Innløp eller utløp av elv eller bekk i innsjø/vann/tjern eller sjø (saltvann).</t>
  </si>
  <si>
    <t>Innløp eller utløp av elv eller bekk i innsjø/vann/tjern eller sjø (saltvann)</t>
  </si>
  <si>
    <t>høl</t>
  </si>
  <si>
    <t>Høl</t>
  </si>
  <si>
    <t>Dyp elvebunn under foss eller etter et stryk.</t>
  </si>
  <si>
    <t>Dyp elvebunn under foss eller etter et stryk</t>
  </si>
  <si>
    <t>"place = locality", 4
"natural = water", 13
"water = pool", 10
"type = multipolygon", 3</t>
  </si>
  <si>
    <t>"Høl" is mostly used for a bay in a river ("bakevje") or in a lake/sea</t>
  </si>
  <si>
    <t>lon</t>
  </si>
  <si>
    <t>Lon</t>
  </si>
  <si>
    <t>Utbuktning i elv eller bekk der vannet renner stille.</t>
  </si>
  <si>
    <t>Utbuktning i elv eller bekk med stille vann</t>
  </si>
  <si>
    <t>"natural = bay", 15
"natural = water", 17
"type = multipolygon", 14
"water = river", 7</t>
  </si>
  <si>
    <t>natural=water; water=lake</t>
  </si>
  <si>
    <t>fløtningsanlegg</t>
  </si>
  <si>
    <t>Fløtningsanlegg</t>
  </si>
  <si>
    <t>Kunstig fløtningsanlegg.</t>
  </si>
  <si>
    <t>Kunstig fløtningsanlegg</t>
  </si>
  <si>
    <t>"place = locality", 2</t>
  </si>
  <si>
    <t>nesVedElver</t>
  </si>
  <si>
    <t>Nes ved elver</t>
  </si>
  <si>
    <t>Landet mellom to møtende elver.</t>
  </si>
  <si>
    <t>Landet mellom to møtende elver. Brukt (helst) i samiske områder. Stedsnavnets skrivemåte skal IKKE avgjøre om navnet skal gis denne koden, men KUN lokalitetens størrelse og/eller fasong.</t>
  </si>
  <si>
    <t>"natural = cape", 12</t>
  </si>
  <si>
    <t>kilde</t>
  </si>
  <si>
    <t>Kilde</t>
  </si>
  <si>
    <t>Oppkomme, olle, kildeutspring, osv.</t>
  </si>
  <si>
    <t>Oppkomme, olle, ile. Benyttes for å angi stedet hvor vannkilden/grunnvannet kommer i dagen.</t>
  </si>
  <si>
    <t>natural=spring</t>
  </si>
  <si>
    <t>elvesving</t>
  </si>
  <si>
    <t>Elvesving</t>
  </si>
  <si>
    <t>Naturlig sving i elv eller bekk.</t>
  </si>
  <si>
    <t>Naturlig sving (retningsskifte) i elv eller bekk</t>
  </si>
  <si>
    <t>stilleståendeVann</t>
  </si>
  <si>
    <t>innsjø</t>
  </si>
  <si>
    <t>Innsjø</t>
  </si>
  <si>
    <t>Stort vann.</t>
  </si>
  <si>
    <t>Stort vann. Eks. Altevatnet, Femunden, Mjøsa, Nisser, Byglandsfjord</t>
  </si>
  <si>
    <t>"natural = water", 15
"water = lake", 12
"type = multipolygon", 15</t>
  </si>
  <si>
    <t>vann</t>
  </si>
  <si>
    <t>Vann</t>
  </si>
  <si>
    <t>Middels stort vann.</t>
  </si>
  <si>
    <t>Middels stort vann</t>
  </si>
  <si>
    <t>"type = multipolygon", 291
"natural = water", 380
"water = lake", 254</t>
  </si>
  <si>
    <t>tjern</t>
  </si>
  <si>
    <t>Tjern</t>
  </si>
  <si>
    <t>Lite vann.</t>
  </si>
  <si>
    <t>Lite vann</t>
  </si>
  <si>
    <t>"type = multipolygon", 1138
"natural = water", 2480
"water = lake", 928</t>
  </si>
  <si>
    <t>natural=water</t>
  </si>
  <si>
    <t>pytt</t>
  </si>
  <si>
    <t>Pytt</t>
  </si>
  <si>
    <t>Lite vannhull (mindre enn tjern).</t>
  </si>
  <si>
    <t>Liten dam, myrpytt</t>
  </si>
  <si>
    <t>"water = pond", 7
"natural = water", 8</t>
  </si>
  <si>
    <t>natural=water; water=pond</t>
  </si>
  <si>
    <t>dam</t>
  </si>
  <si>
    <t>Dam</t>
  </si>
  <si>
    <t>Vann bak oppbygd hindring, oftest i en elv, for å få jevn vannføring til fløting, til kraftverk eller for å hindre skadeflom.</t>
  </si>
  <si>
    <t>Både store reguleringsdammer og små fløtningsdammer</t>
  </si>
  <si>
    <t>"waterway = dam", 3
"natural = water", 2</t>
  </si>
  <si>
    <t>waterway=dam</t>
  </si>
  <si>
    <t>delAvInnsjø</t>
  </si>
  <si>
    <t>Del av innsjø</t>
  </si>
  <si>
    <t>Mindre del av innsjø.</t>
  </si>
  <si>
    <t>Mindre del av stor innsjø. Eks. Steinsfjorden i Tyrifjorden</t>
  </si>
  <si>
    <t>"natural = bay", 2</t>
  </si>
  <si>
    <t>gruppeAvVann</t>
  </si>
  <si>
    <t>Gruppe av vann</t>
  </si>
  <si>
    <t>To eller flere vann.</t>
  </si>
  <si>
    <t>To eller flere middels store vann</t>
  </si>
  <si>
    <t>"natural = water", 2
"water = lake", 2</t>
  </si>
  <si>
    <t>gruppeAvTjern</t>
  </si>
  <si>
    <t>Gruppe av tjern</t>
  </si>
  <si>
    <t>To eller flere små tjern.</t>
  </si>
  <si>
    <t>To eller flere små vann</t>
  </si>
  <si>
    <t>"natural = water", 53
"water = lake", 40
"type = multipolygon", 22
"place = locality", 6</t>
  </si>
  <si>
    <t>infrastruktur</t>
  </si>
  <si>
    <t>bane</t>
  </si>
  <si>
    <t>stasjon</t>
  </si>
  <si>
    <t>Stasjon</t>
  </si>
  <si>
    <t>Stoppested for jernbane, tunnelbane og/eller trikk. Som regel betjent.</t>
  </si>
  <si>
    <t>Betjent stoppested for jernbane og trikk</t>
  </si>
  <si>
    <t>"abandoned:railway = station", 2
"railway:traffic_mode = passenger", 3
"train = yes", 4
"place = locality", 2
"railway = station", 4</t>
  </si>
  <si>
    <t>railway=station; train=yes</t>
  </si>
  <si>
    <t>Already mapped?</t>
  </si>
  <si>
    <t>holdeplass</t>
  </si>
  <si>
    <t>Holdeplass</t>
  </si>
  <si>
    <t>Ubetjent stoppested for jernbane, tunnelbane og/eller trikk.</t>
  </si>
  <si>
    <t>Ubetjent stoppested for jernbane og trikk</t>
  </si>
  <si>
    <t>"railway = halt", 5
"train = yes", 2
"place = locality", 2
"disused:railway = halt", 2
"railway:traffic_mode = passenger", 7
"abandoned:railway = halt", 2</t>
  </si>
  <si>
    <t>railway=halt; train=yes</t>
  </si>
  <si>
    <t>banestrekning</t>
  </si>
  <si>
    <t>Jernbanestrekning</t>
  </si>
  <si>
    <t>Jernbanestrekning, tunnelbane eller trikkelinje/-strekning.</t>
  </si>
  <si>
    <t>Lang jernbanestrekning. Eks. Ofotbanen, Bergensbanen</t>
  </si>
  <si>
    <t>Already in OSM</t>
  </si>
  <si>
    <t>energi</t>
  </si>
  <si>
    <t>kraftstasjon</t>
  </si>
  <si>
    <t>Kraftstasjon</t>
  </si>
  <si>
    <t>Alle typer / alle størrelser til energiproduksjon (f.eks. el. og varme).</t>
  </si>
  <si>
    <t>Alle typer / alle størrelser til energiproduksjon (f.eks. el. og varme)</t>
  </si>
  <si>
    <t>"power = plant", 2
"plant:source = hydro", 2</t>
  </si>
  <si>
    <t>power=plant; landuse=industrial</t>
  </si>
  <si>
    <t>rørledning</t>
  </si>
  <si>
    <t>Rørledning</t>
  </si>
  <si>
    <t>Alle typer rørledninger: Olje, gass, vann og lignende</t>
  </si>
  <si>
    <t>Alle typer rørledninger, til olje, gass, vann, o.l.</t>
  </si>
  <si>
    <t>man_made=pipeline</t>
  </si>
  <si>
    <t>oljeinstallasjon</t>
  </si>
  <si>
    <t>Oljeinstallasjon (sjø)</t>
  </si>
  <si>
    <t>Stasjonær olje- og gassinstallasjon (fast eller flytende).</t>
  </si>
  <si>
    <t>Stasjonære oljeinstallasjoner (faste og flytende)</t>
  </si>
  <si>
    <t>man_made=offshore_platform; seamark:type=platform</t>
  </si>
  <si>
    <t>kraftledning</t>
  </si>
  <si>
    <t>Kraftledning</t>
  </si>
  <si>
    <t>Stor strømoverføringsledning.</t>
  </si>
  <si>
    <t>Store strømoverføringsledninger</t>
  </si>
  <si>
    <t>Already mapped</t>
  </si>
  <si>
    <t>kraftgateRørgate</t>
  </si>
  <si>
    <t>Kraftgate (rørgate)</t>
  </si>
  <si>
    <t>Store tilførselsrør for kraftanlegg.</t>
  </si>
  <si>
    <t>Store tilførselsrør for kraftanlegg</t>
  </si>
  <si>
    <t>man_made=pipeline; substance=water</t>
  </si>
  <si>
    <t>kabel</t>
  </si>
  <si>
    <t>Kabel</t>
  </si>
  <si>
    <t>Alle typer kabler i sjø eller i ferskvann.</t>
  </si>
  <si>
    <t>Alle typer kabler i sjø og ferskvann</t>
  </si>
  <si>
    <t>seamark:type=cable_submarine</t>
  </si>
  <si>
    <t>kommunikasjon</t>
  </si>
  <si>
    <t>tV-Radio-EllerMobiltelefontårn</t>
  </si>
  <si>
    <t>TV-/radiomast</t>
  </si>
  <si>
    <t>Alle typer bakkebasert telekommunikasjon.</t>
  </si>
  <si>
    <t>TV-/radiotårn. Alle typer bakkebasert telekommunikasjon</t>
  </si>
  <si>
    <t>man_made=tower; tower:type=communications</t>
  </si>
  <si>
    <t>Only large TV towers ("hovedsendere") have names</t>
  </si>
  <si>
    <t>luftfart</t>
  </si>
  <si>
    <t>flyplass</t>
  </si>
  <si>
    <t>Flyplass</t>
  </si>
  <si>
    <t>Offentlig godkjent, avgrenset område med start- og landingsplass for fly.</t>
  </si>
  <si>
    <t>Landingsplass for rutegående flytrafikk og regulert privat flygning</t>
  </si>
  <si>
    <t>"aeroway = aerodrome", 3
"icao = ENGK", 2
"type = multipolygon", 2</t>
  </si>
  <si>
    <t>aeroway=aerodrome</t>
  </si>
  <si>
    <t>landingsplass</t>
  </si>
  <si>
    <t>Landingsstripe</t>
  </si>
  <si>
    <t>Landingsplass for helikopter og/eller privatfly.</t>
  </si>
  <si>
    <t>Landingsplass for privat flygning</t>
  </si>
  <si>
    <t>aeroway=airstrip</t>
  </si>
  <si>
    <t>navigasjon</t>
  </si>
  <si>
    <t>fyrstasjon</t>
  </si>
  <si>
    <t>Fyr (fyrstasjon)</t>
  </si>
  <si>
    <t>Automatisk og ubemannet. Et fast anlegg hvor linse og lyskilde er anbrakt i hus, tårn eller spesielt bygg. Ikke flytende.</t>
  </si>
  <si>
    <t>Offisielt fyr og fyrstasjon langs kysten</t>
  </si>
  <si>
    <t>"source:seamark = Kystverket", 2
"man_made = lighthouse", 2
"seamark:type = light_major", 2
"note = Fyrstasjon", 2</t>
  </si>
  <si>
    <t>Already imported</t>
  </si>
  <si>
    <t>fyrlykt</t>
  </si>
  <si>
    <t>Lykt (fyrlykt)</t>
  </si>
  <si>
    <t>Linse og lyskilde anbrakt i hus eller liknende. Ikke flytende.</t>
  </si>
  <si>
    <t>Offisiell og privat lykt/fyrlykt langs kysten og i innlandet</t>
  </si>
  <si>
    <t>"man_made = lighthouse", 2
"seamark:kystverket:information = Lyktehus", 2
"seamark:kystverket:information = Lyktehus på søyle", 7
"seamark:kystverket:information = 4-FL/SC", 3
"seamark:kystverket:information = 4-FL/NB", 2
"seamark:kystverket:information = FL/SC", 12
"man_made = beacon", 6
"seamark:type = light_minor", 32
"source:seamark = Kystverket", 31
"seamark:kystverket:information = FL/NB", 4
"note = Fyrlykt", 31</t>
  </si>
  <si>
    <t>varde</t>
  </si>
  <si>
    <t>Varde</t>
  </si>
  <si>
    <t>(Som oftest) oppstablet stein som skal markere sti, grensemerke, trigonometrisk punkt og lignende</t>
  </si>
  <si>
    <t>F.eks. merkerøys, steinrøys, langs kysten og i innlandet</t>
  </si>
  <si>
    <t>"place = locality", 2
"man_made = cairn", 3</t>
  </si>
  <si>
    <t>man_made=cairn</t>
  </si>
  <si>
    <t>lanterne</t>
  </si>
  <si>
    <t>Lanterne</t>
  </si>
  <si>
    <t>En innretning hvor linsen med eller uten beskyttelsesglass utgjør en del av den bærende del av konstruksjonen. Ikke flytende.</t>
  </si>
  <si>
    <t>Offisiell og privat lanterne langs kysten og i innlandet, fast</t>
  </si>
  <si>
    <t>stake</t>
  </si>
  <si>
    <t>Stang</t>
  </si>
  <si>
    <t>Flytende sjømerke. Ofte kalt bøyestake, stakebøye, kubbestake.</t>
  </si>
  <si>
    <t>Offisiell og privat jernstang langs kysten og i innlandet, fast</t>
  </si>
  <si>
    <t>lysbøye</t>
  </si>
  <si>
    <t>Lysbøye</t>
  </si>
  <si>
    <t>Flytende innretning for farvannsmerking med en lanterne som lyskilde.</t>
  </si>
  <si>
    <t>Offisiell og privat lysbøye langs kysten og i innlandet, flytende</t>
  </si>
  <si>
    <t>båke</t>
  </si>
  <si>
    <t>Båke (seilingsmerke)</t>
  </si>
  <si>
    <t>Fast sjømerke. Sprinkelverk bygget i tre eller metall.</t>
  </si>
  <si>
    <t>Offisiell og privat båke langs kysten og i innlandet, fast</t>
  </si>
  <si>
    <t>overett</t>
  </si>
  <si>
    <t>Overett (seilingsmerker)</t>
  </si>
  <si>
    <t>To sjømerker, med eller uten lys, som, når de peiles på linje, viser kurs for gjennomseiling.</t>
  </si>
  <si>
    <t>Offisiell og privat. To stenger med eller uten lys overett, langs kysten og i  innlandet, faste</t>
  </si>
  <si>
    <t>jernstang</t>
  </si>
  <si>
    <t>Fast sjømerke av typen jernstang eller jernsøyle.</t>
  </si>
  <si>
    <t>sjømerke</t>
  </si>
  <si>
    <t>Varde av stein eller betong.</t>
  </si>
  <si>
    <t>samferdselsanlegg</t>
  </si>
  <si>
    <t>bru</t>
  </si>
  <si>
    <t>Bru</t>
  </si>
  <si>
    <t>Både på veg og jernbane.</t>
  </si>
  <si>
    <t>Både for veg og jernbane. Angi ett punkt i hver ende for store bruer og ett midt på for små bruer.</t>
  </si>
  <si>
    <t>"man_made = tunnel", 3
"bridge = yes", 62
"old_ref = 202", 2
"historic = bridge", 2
"place = locality", 2
"highway = secondary", 11
"int_ref = E 134", 2
"old_ref = 459", 2
"old_ref = 158", 2
"highway = tertiary", 2
"lit = yes", 4
"highway = primary", 30
"old_ref = 408", 2
"highway = trunk", 4
"layer = 1", 61
"surface = asphalt", 6
"place = suburb", 2
"layer = -1", 3
"highway = track", 4
"nvdb:id = 339480834", 2
"int_ref = E 39", 2
"highway = residential", 2
"waterway = stream", 2
"man_made = bridge", 28</t>
  </si>
  <si>
    <t>bridge=yes; layer=1</t>
  </si>
  <si>
    <t>NB: Only tag where name contains "bru" or "bro"</t>
  </si>
  <si>
    <t>klopp</t>
  </si>
  <si>
    <t>Klopp</t>
  </si>
  <si>
    <t>Liten gangbru av stokker og/eller stein over bekker og elver, i myr eller i fjæra.</t>
  </si>
  <si>
    <t>Liten gangbru av stokker og/eller stein over bekker og elver, i myr eller i fjæra</t>
  </si>
  <si>
    <t>tunnel</t>
  </si>
  <si>
    <t>Tunnel</t>
  </si>
  <si>
    <t>Vanlig tunnel, rasoverbygg eller undergang. Både på veg og jernbane.</t>
  </si>
  <si>
    <t>Vanlig tunnel, rasoverbygg og undergang på gangveg, veg og jernbane. Angi ett punkt i hver ende for lange og ett punkt midt på for korte tunneler.</t>
  </si>
  <si>
    <t>"maxspeed:tilting = 100", 6
"voltage = 15000", 6
"passenger_lines = 1", 6
"electrified = contact_line", 7
"layer = -1", 9
"highway = trunk", 2
"bicycle = no", 2
"maxspeed:hgv = 80", 6
"maxheight = 4.5", 2
"gauge = 1435", 7
"lit = yes", 2
"foot = no", 2
"maxspeed:plus = 85", 6
"tunnel = yes", 9
"int_ref = E 39", 2
"usage = main", 6
"railway = rail", 6
"frequency = 16.67", 7</t>
  </si>
  <si>
    <t>tunnel=yes; layer=-1</t>
  </si>
  <si>
    <t>vegbom</t>
  </si>
  <si>
    <t>Vegbom</t>
  </si>
  <si>
    <t>Mindre bomanlegg på privat veg.</t>
  </si>
  <si>
    <t>Mindre bom/-automat på privat veg</t>
  </si>
  <si>
    <t>barrier=lift_gate</t>
  </si>
  <si>
    <t>bomstasjon</t>
  </si>
  <si>
    <t>Bomstasjon</t>
  </si>
  <si>
    <t>Større bomanlegg på offentlig veg.</t>
  </si>
  <si>
    <t>Større bomanlegg på offentlig veg</t>
  </si>
  <si>
    <t>barrier=toll_booth</t>
  </si>
  <si>
    <t>fjellheis</t>
  </si>
  <si>
    <t>Fjellheis</t>
  </si>
  <si>
    <t>Gondolbane og trallebane for frakt av folk.</t>
  </si>
  <si>
    <t>Gondolbane for frakt av folk til fjells</t>
  </si>
  <si>
    <t>aerialway=gondola</t>
  </si>
  <si>
    <t>garasjeHangarbygg</t>
  </si>
  <si>
    <t>Garasje/hangarbygg</t>
  </si>
  <si>
    <t>Trikkestall, bussgarasje, flyhangar eller lokomotivstall.</t>
  </si>
  <si>
    <t>Parkeringshus/trikkestall/bussgarasje/flyhangar/lokomotivstall</t>
  </si>
  <si>
    <t>amenity=parking</t>
  </si>
  <si>
    <t>rasteplass</t>
  </si>
  <si>
    <t>Rasteplass</t>
  </si>
  <si>
    <t>Rasteplass definert og lagt til rette av Statens vegvesen eller annen offentlig myndighet.</t>
  </si>
  <si>
    <t>Rasteplass definert og lagt til rette av Statens vegvesen eller annen offentlig myndighet</t>
  </si>
  <si>
    <t>highway=rest_area</t>
  </si>
  <si>
    <t>taubane</t>
  </si>
  <si>
    <t>Heis til frakt av gods/høy, ikke persontrafikk.</t>
  </si>
  <si>
    <t>aerialway=goods</t>
  </si>
  <si>
    <t>sjøfart</t>
  </si>
  <si>
    <t>farledSkipslei</t>
  </si>
  <si>
    <t>Farled/skipslei</t>
  </si>
  <si>
    <t>Allment kjent seglingslei/farvannsområde med dybdeforhold passende for skip av en viss størrelse.</t>
  </si>
  <si>
    <t>Normal seilingslei for skip, f.eks. Trondheimsleia</t>
  </si>
  <si>
    <t>ferjestrekning</t>
  </si>
  <si>
    <t>Ferjestrekning</t>
  </si>
  <si>
    <t>Ferjesamband som inngår i områdets samferdselsnett.</t>
  </si>
  <si>
    <t>Ferjesamband som inngår i områdets samferdselsnett</t>
  </si>
  <si>
    <t>One historic ferry place in Bygland ...</t>
  </si>
  <si>
    <t>kai</t>
  </si>
  <si>
    <t>Kai</t>
  </si>
  <si>
    <t>Større, fastbygd bryggeanlegg.</t>
  </si>
  <si>
    <t>Større, fastbygd bryggeanlegg</t>
  </si>
  <si>
    <t>"man_made = quay", 5</t>
  </si>
  <si>
    <t>man_made=quay</t>
  </si>
  <si>
    <t>Mostly quays rather than piers</t>
  </si>
  <si>
    <t>brygge</t>
  </si>
  <si>
    <t>Brygge</t>
  </si>
  <si>
    <t>Mindre, fastbygd bryggeanlegg.</t>
  </si>
  <si>
    <t>Mindre, fastbygd bryggeanlegg</t>
  </si>
  <si>
    <t>"man_made = quay", 15
"place = locality", 18
"natural = coastline", 4</t>
  </si>
  <si>
    <t>ferjekai</t>
  </si>
  <si>
    <t>Ferjekai</t>
  </si>
  <si>
    <t>Ferjekai i fast regulert ferjesamband.</t>
  </si>
  <si>
    <t>Punktet/koordinaten legges på ferjelemmen på kaia</t>
  </si>
  <si>
    <t>amenity=ferry_terminal</t>
  </si>
  <si>
    <t>utstikker</t>
  </si>
  <si>
    <t>Utstikker</t>
  </si>
  <si>
    <t>Flytende bryggeanlegg.</t>
  </si>
  <si>
    <t>Fast byggverk, utstikkende voll i sjøen</t>
  </si>
  <si>
    <t>man_made=pier</t>
  </si>
  <si>
    <t>sluse</t>
  </si>
  <si>
    <t>Sluse</t>
  </si>
  <si>
    <t>Kunstig løfteanretning for båter i vassdrag.</t>
  </si>
  <si>
    <t>Kunstig løfteanretning for båter i vassdrag</t>
  </si>
  <si>
    <t>waterway=lock_gate</t>
  </si>
  <si>
    <t>kanal</t>
  </si>
  <si>
    <t>Kanal</t>
  </si>
  <si>
    <t>Kunstig eller naturlig vannvei eller gjennomseiling.</t>
  </si>
  <si>
    <t>Utgravd vannveg i sjø og ferskvann F.eks. opplagsplass for store båter/skip</t>
  </si>
  <si>
    <t>"waterway = canal", 2
"natural = bay", 2</t>
  </si>
  <si>
    <t>waterway=canal</t>
  </si>
  <si>
    <t>ankringsplass</t>
  </si>
  <si>
    <t>Ankringsplass</t>
  </si>
  <si>
    <t>Opplagsplass for store fartøy.</t>
  </si>
  <si>
    <t>For eksempel opplagsplass for store båter/skip</t>
  </si>
  <si>
    <t>småbåthavn</t>
  </si>
  <si>
    <t>Småbåthavn</t>
  </si>
  <si>
    <t>Regulert havneanlegg for småbåter.</t>
  </si>
  <si>
    <t>Regulert havneanlegg for småbåter</t>
  </si>
  <si>
    <t>"natural = beach", 2
"leisure = marina", 3
"place = locality", 2
"surface = sand", 2</t>
  </si>
  <si>
    <t>leisure=marina</t>
  </si>
  <si>
    <t>Mostly historic slipways and small shipyards?</t>
  </si>
  <si>
    <t>havn</t>
  </si>
  <si>
    <t>Havn</t>
  </si>
  <si>
    <t>Sted der fartøy laster, losser eller søker ly for vær og sjø.</t>
  </si>
  <si>
    <t>Sted der fartøy laster, losser eller søker ly for vær og sjø</t>
  </si>
  <si>
    <t>"area = yes", 3
"leisure = marina", 2
"place = hamlet", 2
"seamark:type = harbour", 3
"place = locality", 3
"landuse = harbour", 5</t>
  </si>
  <si>
    <t>landuse=harbour; seamark:type=harbour</t>
  </si>
  <si>
    <t>stø</t>
  </si>
  <si>
    <t>Stø</t>
  </si>
  <si>
    <t>Båtplass i vannkanten uten naust.</t>
  </si>
  <si>
    <t>Båtstø, båtplass (uten naust) i vannkanten</t>
  </si>
  <si>
    <t>"mooring = yes", 4
"place = locality", 94
"historic = yes", 92</t>
  </si>
  <si>
    <t>mooring=yes</t>
  </si>
  <si>
    <t>fixme=verify maritime location</t>
  </si>
  <si>
    <t>Also used for "sto" (historic resting place for cattle), so check</t>
  </si>
  <si>
    <t>molo</t>
  </si>
  <si>
    <t>Molo</t>
  </si>
  <si>
    <t>Fast byggverk, utstikkende voll i sjøen.</t>
  </si>
  <si>
    <t>Flytende bryggeanlegg</t>
  </si>
  <si>
    <t>man_made=breakwater</t>
  </si>
  <si>
    <t>A molo is drawn as coastline</t>
  </si>
  <si>
    <t>veg</t>
  </si>
  <si>
    <t>adressenavn</t>
  </si>
  <si>
    <t>Adressenavn (veg/gate)</t>
  </si>
  <si>
    <t>Offisielt adressenavn, veg-/gatenavn eller områdenavn, jf. § 2 bokstav e i matrikkelforskriften.</t>
  </si>
  <si>
    <t>Offisielt adressenavn (veg-/gatenavn), jf. § 2 bokstav e i   matrikkelforskriften. Bruk ellers kode 240 Vegstrekning.</t>
  </si>
  <si>
    <t>"natural = coastline", 2
"place = islet", 2</t>
  </si>
  <si>
    <t>Mostly street names, import from Elveg</t>
  </si>
  <si>
    <t>traktorveg</t>
  </si>
  <si>
    <t>Traktorveg</t>
  </si>
  <si>
    <t>Driftsveg anlagt for traktorbruk. Ikke fremkommelig med vanlig personbil.</t>
  </si>
  <si>
    <t>Driftsveg for kjøretøy som ikke kan kjøres med vanlig bil</t>
  </si>
  <si>
    <t>"tracktype = grade3", 2
"place = locality", 2
"highway = path", 3
"highway = track", 8</t>
  </si>
  <si>
    <t>highway=track</t>
  </si>
  <si>
    <t>fixme=consider highway=path</t>
  </si>
  <si>
    <t>sti</t>
  </si>
  <si>
    <t>Sti</t>
  </si>
  <si>
    <t>Stistrekning, råk, slepe (gammel drifteveg), reindriftsveg.</t>
  </si>
  <si>
    <t>Stistrekning, råk, slepe (gammel drifteveg), reindriftsveg</t>
  </si>
  <si>
    <t>"trail_visibility = excellent", 2
"sac_scale = hiking", 4
"place = locality", 3
"highway = path", 23</t>
  </si>
  <si>
    <t>highway=path</t>
  </si>
  <si>
    <t>vegkryss</t>
  </si>
  <si>
    <t>Vegkryss (veg/gate)</t>
  </si>
  <si>
    <t>Allment kjent vegkryss i alle typer veger og gater.</t>
  </si>
  <si>
    <t>For alle typer veger/gater både offisielle kryssnavn eller lokale navn på offentlige eller private veger, for eksempel Sinsenkrysset, Sluppen.</t>
  </si>
  <si>
    <t>"junction = yes", 5
"place = locality", 5
"highway = service", 2</t>
  </si>
  <si>
    <t>junction=yes</t>
  </si>
  <si>
    <t>grind</t>
  </si>
  <si>
    <t>Grind</t>
  </si>
  <si>
    <t>Port i gjerde.</t>
  </si>
  <si>
    <t>Port i gjerde</t>
  </si>
  <si>
    <t>Historic name, physical barrier rarely present</t>
  </si>
  <si>
    <t>parkeringsplass</t>
  </si>
  <si>
    <t>Parkeringsplass</t>
  </si>
  <si>
    <t>Tomt (eller bygning) for parkering av biler.</t>
  </si>
  <si>
    <t>Offentlig og privat</t>
  </si>
  <si>
    <t>busstopp</t>
  </si>
  <si>
    <t>Busstopp</t>
  </si>
  <si>
    <t>Stoppested for rutegående vegtrafikk.</t>
  </si>
  <si>
    <t>Stoppested for rutegående vegtrafikk</t>
  </si>
  <si>
    <t>highway=bus_stop</t>
  </si>
  <si>
    <t>vad</t>
  </si>
  <si>
    <t>Vad</t>
  </si>
  <si>
    <t>Vadested, vanligvis der en stistrekning krysser elv, bekk eller vann.</t>
  </si>
  <si>
    <t>Grunt (vade)sted i elv, bekk, vann eller sjø</t>
  </si>
  <si>
    <t>"ford = yes", 6
"place = locality", 5</t>
  </si>
  <si>
    <t>ford=yes</t>
  </si>
  <si>
    <t>Simpler to tag a node (intersection between waterway and highway)</t>
  </si>
  <si>
    <t>tømmervelte</t>
  </si>
  <si>
    <t>Tømmervelte</t>
  </si>
  <si>
    <t>Midlertidig lagringsplass for tømmer.</t>
  </si>
  <si>
    <t>Midlertidig lagringsplass for tømmer</t>
  </si>
  <si>
    <t>vegstrekning</t>
  </si>
  <si>
    <t>Vegstrekning</t>
  </si>
  <si>
    <t>Navn på vegstrekning som ikke nødvendigvis har et formelt vedtak, og ikke er det samme som adressenavnet. Det kan være f.eks. fjelloverganger, turistrekninger og ringveger rundt en by.</t>
  </si>
  <si>
    <t>Fjellovergang, turiststrekning, uoffisielt vegnavn. Eks. Kvænangsfjellet, Gamle Bynesveg, Friisvegen</t>
  </si>
  <si>
    <t>adressetilleggsnavn</t>
  </si>
  <si>
    <t>Adressetilleggsnavn</t>
  </si>
  <si>
    <t>Et stedsnavn som er en del av den offisielle (veg-)adressen, jf. § 54 i matrikkelforskriften; vanligvis bruksnavn eller sjeldnere bygnings-/institusjonsnavn.</t>
  </si>
  <si>
    <t>Et ekstra navn som inngår i den offisielle adressen, jf. § 54 i  matrikkelforskriften; bruksnavn (108) eller bygnings-/institusjonsnavn</t>
  </si>
  <si>
    <t>Included in address import?</t>
  </si>
  <si>
    <t>vegsving</t>
  </si>
  <si>
    <t>Vegsving (veg/gate)</t>
  </si>
  <si>
    <t>Allment kjent sving på alle typer veger og gater.</t>
  </si>
  <si>
    <t>Markert eller allment kjent sving på offentlig og privat veg/gate, også mer lokale navn, f.eks. Styggdalssvingen.</t>
  </si>
  <si>
    <t>bakkeVeg</t>
  </si>
  <si>
    <t>Bakke (veg/gate)</t>
  </si>
  <si>
    <t>Allment kjent bakke på alle typer veger og gater.</t>
  </si>
  <si>
    <t>Bratt vegstrekning på offentlig/privat veg som har navn, også lokale bakkenavn, f.eks. Slottsbakken, Møllebakken; Eggemobakkene.</t>
  </si>
  <si>
    <t>matrikkeladressenavn</t>
  </si>
  <si>
    <t>Et stedsnavn som inngår i den offiselle adressen ved matrikkeladresser, jf. § 55 tredje ledd i matrikkelforskriften.</t>
  </si>
  <si>
    <t>streetname? Already part of address import?</t>
  </si>
  <si>
    <t>kultur</t>
  </si>
  <si>
    <t>kulturinstitusjoner</t>
  </si>
  <si>
    <t>kirke</t>
  </si>
  <si>
    <t>Kirke</t>
  </si>
  <si>
    <t>Kirke, kapell, arbeidskirke og lignende</t>
  </si>
  <si>
    <t>Kirke/kapell/arbeidskirke knyttet til Den norske kirke</t>
  </si>
  <si>
    <t>"capacity = 450", 6
"deanery = Vest-Nedenes", 6
"hearing_aids = yes", 15
"parish = Kongsberg og Jondalen", 3
"parish = Mandal", 4
"religion = christian", 99
"capacity = 170", 3
"capacity = 200", 10
"toilets:wheelchair = yes", 10
"diocese = Stavanger", 15
"diocese = Agder og Telemark", 60
"capacity = 430", 3
"note = Prostikirke", 4
"architect = J.H.Nissen", 4
"note = Soknekirke/arbeidskirke", 12
"parish = Farsund", 3
"building = church", 95
"capacity = 350", 8
"deanery = Lister", 4
"parish = Bygland", 6
"toilets = yes", 45
"parish = Evje og Hornnes", 4
"architect = Linstow type / Anders Thorsen Syrtveit", 10
"capacity = 250", 7
"diocese = Tunsberg", 13
"parish = Bykle", 4
"capacity = 700", 3
"deanery = Bodø Domprosti", 6
"wheelchair = yes", 11
"parish = Gildeskål", 3
"parish = Holt", 4
"deanery = Ytre Stavanger", 6
"diocese = Sør-Hålogaland", 6
"capacity = 300", 5
"capacity = 650", 3
"parish = Åmli", 4
"toilets:wheelchair = no", 6
"note = Soknekirke", 43
"deanery = Aust-Nedenes", 20
"denomination = lutheran", 99
"amenity = place_of_worship", 99
"toilets = no", 9
"capacity = 150", 3
"capacity = 400", 3
"deanery = Mandal", 6
"capacity = 500", 10
"wheelchair = limited", 3
"architect = J.W.Nordan", 4
"deanery = Kongsberg", 7
"deanery = Stavanger Domprosti", 7
"deanery = Otredal", 22
"parish = Valle og Hylestad", 4
"deanery = Lier", 4</t>
  </si>
  <si>
    <t>amenity=place_of_worship;religion=christian; denomination=lutheran</t>
  </si>
  <si>
    <t>Chruches are already imported, but SSR will introduce several alternative names</t>
  </si>
  <si>
    <t>forsamlingshusKulturhus</t>
  </si>
  <si>
    <t>Forsamlingshus/kulturhus</t>
  </si>
  <si>
    <t>Teater, kino, samfunnshus, grendehus og lignende</t>
  </si>
  <si>
    <t>Teater, kino, samfunnshus, grendehus o.l.</t>
  </si>
  <si>
    <t>"building = yes", 4
"amenity = community_centre", 5
"building = civic", 3</t>
  </si>
  <si>
    <t>amenity=community_centre</t>
  </si>
  <si>
    <t>annenKulturdetalj</t>
  </si>
  <si>
    <t>Annen kulturdetalj</t>
  </si>
  <si>
    <t>Alle andre typer kulturdetaljer, f.eks. lekeplass, utkikkstårn, fiskeplass, og lignende.</t>
  </si>
  <si>
    <t>Alle typer kulturdetaljer, f.eks. lekeplass, utkikkstårn, fiskeplass, o.l. Skriv  hva det er i merknadsfeltet.</t>
  </si>
  <si>
    <t>"resource = silver", 21
"incline = up", 6
"place = locality", 48
"place = suburb", 2
"leisure = park", 2
"man_made = adit", 2
"description:no = Denne parken besto i sine praktdager av en rekke alléer, labyrinter, karpedammer, lysthus og blomsteranlegg. Heldigvis er store deler av parken godt bevart, og byr på ro og fred, men også lek og moro for de minste.", 2
"man_made = mineshaft", 17
"historic = mine", 41
"highway = steps", 6
"comment = The location from the source listed here is wrong. this new position is based on name sign at the mine and general local knowledge.", 2</t>
  </si>
  <si>
    <t>gravplass</t>
  </si>
  <si>
    <t>Gravplass</t>
  </si>
  <si>
    <t>Alle typer gravlunder, gravplasser.</t>
  </si>
  <si>
    <t>Alle typer gravlunder, gravplasser</t>
  </si>
  <si>
    <t>"type = multipolygon", 3
"cemetery = grave", 5
"landuse = cemetery", 4
"amenity = grave_yard", 2</t>
  </si>
  <si>
    <t>cemetery=grave</t>
  </si>
  <si>
    <t>Mostly used for historic, private graves</t>
  </si>
  <si>
    <t>annenBygningForReligionsutøvelse</t>
  </si>
  <si>
    <t>Annen bygning for religiøs aktivitet</t>
  </si>
  <si>
    <t>Synagoge, moské, frikirke, menighetshus, kloster, gravkapell, bårehus, krematorium.</t>
  </si>
  <si>
    <t>Synagoge, moské, frikirke, menighetshus, kloster, gravkapell, bårehus,   krematorium. Skriv i merknadsfelt hvilken type.</t>
  </si>
  <si>
    <t>amenity=place_of_worship</t>
  </si>
  <si>
    <t>fixme=specify religion=*, denomination=*, building=* etc</t>
  </si>
  <si>
    <t>museumGalleriBibliotek</t>
  </si>
  <si>
    <t>Museum/galleri/bibliotek</t>
  </si>
  <si>
    <t>Alle typer museum, galleri og bibliotek.</t>
  </si>
  <si>
    <t>Alle typer museum, galleri og bibliotek</t>
  </si>
  <si>
    <t>tourism=museum</t>
  </si>
  <si>
    <t>kulturminner</t>
  </si>
  <si>
    <t>offersted</t>
  </si>
  <si>
    <t>Offersted</t>
  </si>
  <si>
    <t>Alle typer offersted.</t>
  </si>
  <si>
    <t>Samisk, norsk eller kvensk offersted</t>
  </si>
  <si>
    <t>historic=heritage</t>
  </si>
  <si>
    <t>severdighet</t>
  </si>
  <si>
    <t>Severdighet</t>
  </si>
  <si>
    <t>Minnesmerke, arkeologiske funn og lignende</t>
  </si>
  <si>
    <t>Skriv forklaring i merknadsfeltet, f.eks. ’minnesmerke’</t>
  </si>
  <si>
    <t>"tourism = museum", 2
"type = multipolygon", 2
"place = locality", 3
"historic = memorial", 4
"tourism = attraction", 4</t>
  </si>
  <si>
    <t>tourism=attraction</t>
  </si>
  <si>
    <t>utsiktspunkt</t>
  </si>
  <si>
    <t>Utsiktspunkt</t>
  </si>
  <si>
    <t>Både fra tårn og på bakken.</t>
  </si>
  <si>
    <t>Både i tårn og på bakken, f.eks. Kongens utsikt</t>
  </si>
  <si>
    <t>tourism=viewpoint</t>
  </si>
  <si>
    <t>markslag</t>
  </si>
  <si>
    <t>bartFjell</t>
  </si>
  <si>
    <t>fjellIDagen</t>
  </si>
  <si>
    <t>Sva</t>
  </si>
  <si>
    <t>Lite/ingen vegetasjon; sva, svaberg.</t>
  </si>
  <si>
    <t>Bart fjell-/steinparti</t>
  </si>
  <si>
    <t>The natural/physical feature is ofte not distinct</t>
  </si>
  <si>
    <t>dyrkamark</t>
  </si>
  <si>
    <t>utmark</t>
  </si>
  <si>
    <t>Utmark</t>
  </si>
  <si>
    <t>Beitemark i skog og mark vekk fra garden (og innmarka).</t>
  </si>
  <si>
    <t>Ikke inngjerdet beitemark</t>
  </si>
  <si>
    <t>"place = farm", 23
"place = locality", 53
"landuse = meadow", 2</t>
  </si>
  <si>
    <t>Mostly historic use of land</t>
  </si>
  <si>
    <t>eng</t>
  </si>
  <si>
    <t>Eng</t>
  </si>
  <si>
    <t>Kultivert slåtte-/gressmark.</t>
  </si>
  <si>
    <t>Kultivert slåtte-/gressmark</t>
  </si>
  <si>
    <t>"place = locality", 10
"landuse = meadow", 9
"type = multipolygon", 4</t>
  </si>
  <si>
    <t>landuse=meadow</t>
  </si>
  <si>
    <t>jorde</t>
  </si>
  <si>
    <t>Jorde</t>
  </si>
  <si>
    <t>Kultivert dyrkningsmark.</t>
  </si>
  <si>
    <t>Kultivert dyrkamark</t>
  </si>
  <si>
    <t>"place = locality", 130
"landuse = farmland", 49
"type = multipolygon", 15</t>
  </si>
  <si>
    <t>havnehage</t>
  </si>
  <si>
    <t>Havnehage</t>
  </si>
  <si>
    <t>Inngjerdet beitemark.</t>
  </si>
  <si>
    <t>Inngjerdet beitemark</t>
  </si>
  <si>
    <t>"place = locality", 9</t>
  </si>
  <si>
    <t>Mostly historic, often no farmland/meadow</t>
  </si>
  <si>
    <t>setervoll</t>
  </si>
  <si>
    <t>Setervoll</t>
  </si>
  <si>
    <t>Ryddet, gressbevokst område på seter uten hus.</t>
  </si>
  <si>
    <t>Ryddet, gressbevokst område på seter uten hus</t>
  </si>
  <si>
    <t>"historic = shieling", 48
"place = locality", 45
"building = cabin", 3
"place = isolated_dwelling", 3
"landuse = meadow", 26
"place = farm", 13</t>
  </si>
  <si>
    <t>melkeplass</t>
  </si>
  <si>
    <t>Melkeplass</t>
  </si>
  <si>
    <t>Seterplass uten hus (ev. med enkelt skur) brukt til melking av husdyr.</t>
  </si>
  <si>
    <t>Seterplass uten hus, vanligvis i bratte lier på Vestlandet</t>
  </si>
  <si>
    <t>"historic = shieling", 7
"place = locality", 8</t>
  </si>
  <si>
    <t>isOgPermafrost</t>
  </si>
  <si>
    <t>isbre</t>
  </si>
  <si>
    <t>Isbre</t>
  </si>
  <si>
    <t>Større sammenhengende snø- eller isområde som ikke smelter i løpet av sommeren.</t>
  </si>
  <si>
    <t>Større, sammenhengende snø- og isområde som ikke smelter i løpet av sommeren. Eks. Svartisen, Folgefonna</t>
  </si>
  <si>
    <t>"natural = glacier", 3</t>
  </si>
  <si>
    <t>natural=glacier</t>
  </si>
  <si>
    <t>fonn</t>
  </si>
  <si>
    <t>Fonn</t>
  </si>
  <si>
    <t>Liten snø- eller isflate som vanligvis ikke smelter om sommeren.</t>
  </si>
  <si>
    <t>Liten snø- eller isflate, snøfonn som ikke smelter i løpet av sommeren</t>
  </si>
  <si>
    <t>iskuppel</t>
  </si>
  <si>
    <t>Konveks ismasse av en viss tykkelse i større bre eller innlandsis.</t>
  </si>
  <si>
    <t>løsmasseavsetninger</t>
  </si>
  <si>
    <t>stein</t>
  </si>
  <si>
    <t>Stein</t>
  </si>
  <si>
    <t>Frittliggende steinblokk.</t>
  </si>
  <si>
    <t>Frittliggende stor stein(blokk), f.eks. flyttstein (fra istiden) i fjellet.</t>
  </si>
  <si>
    <t>"natural = stone", 49
"natural = rock", 2</t>
  </si>
  <si>
    <t>natural=stone</t>
  </si>
  <si>
    <t>ur</t>
  </si>
  <si>
    <t>Ur</t>
  </si>
  <si>
    <t>Steinområde, steinrøys.</t>
  </si>
  <si>
    <t>Steinområde, steinrøys</t>
  </si>
  <si>
    <t>"natural = scree", 62</t>
  </si>
  <si>
    <t>natural=scree</t>
  </si>
  <si>
    <t>øyr</t>
  </si>
  <si>
    <t>Øyr</t>
  </si>
  <si>
    <t>Sand-/grusområde i elvemunning, elvedelta både mot innsjø/vann og saltvann.</t>
  </si>
  <si>
    <t>Sand-/grusområde i elvemunning, elvedelta både mot innsjø/vann og saltvann</t>
  </si>
  <si>
    <t>sand</t>
  </si>
  <si>
    <t>Sand</t>
  </si>
  <si>
    <t>Finkornede avsetninger (sand og/eller grus).</t>
  </si>
  <si>
    <t>Sand-/grusområde over vannkontur/kystkontur; morenemateriale</t>
  </si>
  <si>
    <t>natural=beach; surface=sand</t>
  </si>
  <si>
    <t>Beach in most observed cases</t>
  </si>
  <si>
    <t>elvemel</t>
  </si>
  <si>
    <t>Bratt sand-/grusskråning langs elv eller vann.</t>
  </si>
  <si>
    <t>skredområde</t>
  </si>
  <si>
    <t>Område der det går eller har gått skred.</t>
  </si>
  <si>
    <t>uttakOgDeponi</t>
  </si>
  <si>
    <t>torvtak</t>
  </si>
  <si>
    <t>Torvtak</t>
  </si>
  <si>
    <t>Sted for uttak av myrtorv, brenntorv eller veksttorv.</t>
  </si>
  <si>
    <t>Sted for uttak av myrtorv/brenntorv/veksttorv</t>
  </si>
  <si>
    <t>landuse=peat_cutting</t>
  </si>
  <si>
    <t>bergverk</t>
  </si>
  <si>
    <t>Bergverk  (underjord./dagbrudd)</t>
  </si>
  <si>
    <t>Gruve, skjerp og mineraluttak i dagen eller under jorda.</t>
  </si>
  <si>
    <t>Gruve, skjerp</t>
  </si>
  <si>
    <t>"resource = silver", 3
"place = locality", 2
"landuse = quarry", 3
"historic = mine", 7</t>
  </si>
  <si>
    <t>landuse=quarry</t>
  </si>
  <si>
    <t>grustakSteinbrudd</t>
  </si>
  <si>
    <t>Grustak/steinbrudd</t>
  </si>
  <si>
    <t>Uttaksplass/-område for sand, grus, pukk, skifer eller stein.</t>
  </si>
  <si>
    <t>Uttaksplass/-område for sand, grus, pukk, skifer eller stein (Se også Bergverk 218)</t>
  </si>
  <si>
    <t>fyllplass</t>
  </si>
  <si>
    <t>Fyllplass</t>
  </si>
  <si>
    <t>Plass for deponering av masse som stein, jord og søppel.</t>
  </si>
  <si>
    <t>Plass for deponering av masse</t>
  </si>
  <si>
    <t>landuse=landfill</t>
  </si>
  <si>
    <t>vegetasjon</t>
  </si>
  <si>
    <t>skog</t>
  </si>
  <si>
    <t>Skog</t>
  </si>
  <si>
    <t>Alle typer fra stor barskog til og med vierkratt i Finnmark.</t>
  </si>
  <si>
    <t>Alle typer fra stor barskog til vierkratt i Finnmark</t>
  </si>
  <si>
    <t>"place = locality", 8
"type = multipolygon", 6
"natural = wood", 20
"leaf_type = needleleaved", 3
"place = farm", 11</t>
  </si>
  <si>
    <t>skogholt</t>
  </si>
  <si>
    <t>Skogholt</t>
  </si>
  <si>
    <t>Mindre samling av trær.</t>
  </si>
  <si>
    <t>Mindre samling av trær; lund; skogkrull.</t>
  </si>
  <si>
    <t>våtmark</t>
  </si>
  <si>
    <t>myr</t>
  </si>
  <si>
    <t>Myr</t>
  </si>
  <si>
    <t>Alle typer fra åpen gressmyr til våt moldjord dekket med kjerr.</t>
  </si>
  <si>
    <t>Alle typer fra åpen gressmyr til våt moldjord dekket med kjerr</t>
  </si>
  <si>
    <t>"wetland = bog", 218
"type = multipolygon", 89
"natural = wetland", 318
"place = locality", 517</t>
  </si>
  <si>
    <t>natural=wetland</t>
  </si>
  <si>
    <t>offentlig</t>
  </si>
  <si>
    <t>administrativeIndelinger</t>
  </si>
  <si>
    <t>nasjon</t>
  </si>
  <si>
    <t>Nasjon</t>
  </si>
  <si>
    <t>Offisielt navn på selvstendig stat eller land.</t>
  </si>
  <si>
    <t>Selvstendig stat (offisielt navn)</t>
  </si>
  <si>
    <t>fylke</t>
  </si>
  <si>
    <t>Fylke</t>
  </si>
  <si>
    <t>Offisielt navn.</t>
  </si>
  <si>
    <t>Offisielt navn</t>
  </si>
  <si>
    <t>kommune</t>
  </si>
  <si>
    <t>Kommune</t>
  </si>
  <si>
    <t>sokn</t>
  </si>
  <si>
    <t>Sogn</t>
  </si>
  <si>
    <t>Kirkesokn i Den norske kirke.</t>
  </si>
  <si>
    <t>Kirkesogn i Den norske kirke</t>
  </si>
  <si>
    <t>"place = suburb", 2</t>
  </si>
  <si>
    <t>grunnkrets</t>
  </si>
  <si>
    <t>Grunnkrets</t>
  </si>
  <si>
    <t>Offisielt navn på grunnkrets.</t>
  </si>
  <si>
    <t>Se også 253 Annen adm. inndeling</t>
  </si>
  <si>
    <t>poststed</t>
  </si>
  <si>
    <t>Poststed</t>
  </si>
  <si>
    <t>Offisielt poststed/postnummerområde.</t>
  </si>
  <si>
    <t>Offisielt poststed /postnummerområde</t>
  </si>
  <si>
    <t>Already in address import?</t>
  </si>
  <si>
    <t>annenAdministrativInndeling</t>
  </si>
  <si>
    <t>Annen adm. inndeling</t>
  </si>
  <si>
    <t>Andre administrative inndelinger som ikke tilhører øvrige navneobjekttyper.</t>
  </si>
  <si>
    <t>Landsdel, havnedistrikt, politidistrikt, bispedømme, prestegjeld, skolekrets, valgkrets, postområde, o.l. Angi type i merknadsfeltet.</t>
  </si>
  <si>
    <t>grensemerke</t>
  </si>
  <si>
    <t>Grensemerke</t>
  </si>
  <si>
    <t>Offisielt grensemerke: Varde, tre, stein, bolt, kors og lignende</t>
  </si>
  <si>
    <t>Off. godkjent grensemerke; varde, tre, stein, bolt, kors o.l.</t>
  </si>
  <si>
    <t>man_made=cairn;historic=boundary_stone</t>
  </si>
  <si>
    <t>Grenserøyser/merker</t>
  </si>
  <si>
    <t>skolekrets</t>
  </si>
  <si>
    <t>Skred</t>
  </si>
  <si>
    <t>Skolekrets definert av kommunen.</t>
  </si>
  <si>
    <t>Rasområde med stein, jord, sand, leire</t>
  </si>
  <si>
    <t>administrativBydel</t>
  </si>
  <si>
    <t>Adm. bydel</t>
  </si>
  <si>
    <t>Offisielt navn på bydelsforvaltningen i et angitt område.</t>
  </si>
  <si>
    <t>Offisielt navn på bydelsforvaltningen i et angitt område. (Se også 132 Bydel.)</t>
  </si>
  <si>
    <t>"Bydel" already mapped</t>
  </si>
  <si>
    <t>statistiskTettsted</t>
  </si>
  <si>
    <t>Adm. tettsted</t>
  </si>
  <si>
    <t>Tettsted etter Statistisk sentralbyrås klassifisering som brukes for å lage statistikk over befolkning og tettsteder.</t>
  </si>
  <si>
    <t>Etter Statistisk sentralbyrås spesifikasjon</t>
  </si>
  <si>
    <t>valgkrets</t>
  </si>
  <si>
    <t>Valgkrets definert av kommunen.</t>
  </si>
  <si>
    <t>verne-OgBruksområder</t>
  </si>
  <si>
    <t>allmenning</t>
  </si>
  <si>
    <t>Allmenning</t>
  </si>
  <si>
    <t>Område hvor rettighetene er regulert og fordelt på flere.</t>
  </si>
  <si>
    <t>Område hvor rettighetene er regulert og fordelt på flere. Alle typer. Angi type i merknadsfeltet.</t>
  </si>
  <si>
    <t>"place = locality", 3</t>
  </si>
  <si>
    <t>skytefelt</t>
  </si>
  <si>
    <t>Skytefelt</t>
  </si>
  <si>
    <t>Militært sprengingsfelt, bombe- og skytefelt, både på land og sjø.</t>
  </si>
  <si>
    <t>Militært skytefelt</t>
  </si>
  <si>
    <t>military=range</t>
  </si>
  <si>
    <t>verneområde</t>
  </si>
  <si>
    <t>Verneområde</t>
  </si>
  <si>
    <t>Et område med spesiell natur- og/eller kulturverdi som er formelt vedtatt vernet etter offentlig regelverk. Alle typer, både på sjø og land.</t>
  </si>
  <si>
    <t>Alle typer på sjø og land. Angi type, f.eks. nasjonalpark, i merknadsfeltet</t>
  </si>
  <si>
    <t>"leisure = nature_reserve", 5
"type = multipolygon", 4
"naturbase:iid = VV00001832", 4
"attribution = Miljødirektoratet", 4
"boundary = protected_area", 6
"protect_class = 1", 4</t>
  </si>
  <si>
    <t>leisure=nature_reserve</t>
  </si>
  <si>
    <t>fixme=consider boundary=protected_area and relevant protect_class if not nature reserve</t>
  </si>
  <si>
    <t>Mostly nature reserves, import area perimeter from Naturbase</t>
  </si>
  <si>
    <t>soneinndelingTilHavs</t>
  </si>
  <si>
    <t>Soneinndeling til havs</t>
  </si>
  <si>
    <t>Fiskerisone, havrettssone og lignende.</t>
  </si>
  <si>
    <t>Fiskerisone, havrettssone o.l. Angi type i merknadsfeltet.</t>
  </si>
  <si>
    <t>skytebane</t>
  </si>
  <si>
    <t>Skytebane</t>
  </si>
  <si>
    <t>Bane for øvelse el. konkurranse i skyting.</t>
  </si>
  <si>
    <t>Pistol-/geværbane o.l.</t>
  </si>
  <si>
    <t>sport=shooting; leisure=pitch</t>
  </si>
  <si>
    <t>fixme=specify shooting=range, clay_pigeon etc</t>
  </si>
  <si>
    <t>sjø</t>
  </si>
  <si>
    <t>detaljISjø</t>
  </si>
  <si>
    <t>sjødetalj</t>
  </si>
  <si>
    <t>Sjødetalj</t>
  </si>
  <si>
    <t>Detalj som ikke dekkes av andre sjø-navneobjekttyper.</t>
  </si>
  <si>
    <t>farvann</t>
  </si>
  <si>
    <t>fjord</t>
  </si>
  <si>
    <t>Fjord</t>
  </si>
  <si>
    <t>Arm av havet inn i fastlandet.</t>
  </si>
  <si>
    <t>Arm av havet inn i fastlandet</t>
  </si>
  <si>
    <t>"natural = bay", 137
"bay = fjord", 135
"type = multipolygon", 13</t>
  </si>
  <si>
    <t>natural=bay; bay=fjord</t>
  </si>
  <si>
    <t>New tagging</t>
  </si>
  <si>
    <t>havområde</t>
  </si>
  <si>
    <t>Havområde</t>
  </si>
  <si>
    <t>Del av et hav.</t>
  </si>
  <si>
    <t>Stort havområde. Eks. Barentshavet, Nordsjøen, Atlanterhavet</t>
  </si>
  <si>
    <t>place=sea</t>
  </si>
  <si>
    <t>fjordmunning</t>
  </si>
  <si>
    <t>Fjordmunning</t>
  </si>
  <si>
    <t>Område ytterst i en fjord.</t>
  </si>
  <si>
    <t>Område ytterst i en fjord</t>
  </si>
  <si>
    <t>sjøstykke</t>
  </si>
  <si>
    <t>Sjøstykke</t>
  </si>
  <si>
    <t>Stykke av sjøen utanfor land, vanligvis innaskjærs eller i kystnære farvann.</t>
  </si>
  <si>
    <t>Del av sjøen, vanligvis innaskjærs eller i kystnære farvann. Eks. Folda, Hustadvika</t>
  </si>
  <si>
    <t>?</t>
  </si>
  <si>
    <t>fiskeplassISjø</t>
  </si>
  <si>
    <t>Fiskeplass i sjø</t>
  </si>
  <si>
    <t>Navngitt fiskested; fiskemed.</t>
  </si>
  <si>
    <t>Fiskested, fiskemed</t>
  </si>
  <si>
    <t>havstrøm</t>
  </si>
  <si>
    <t>Havstrøm</t>
  </si>
  <si>
    <t>Kontinuerlig bevegelse av vann (i havet) på grunn av klimatiske forhold eller tidevann.</t>
  </si>
  <si>
    <t>Kontinuerlig bevegelse av saltvann basert på klimatiske forhold eller tidevann f.eks Golfstrømmen, Saltstraumen, Nappstraumen.</t>
  </si>
  <si>
    <t>kontinentalsokkel</t>
  </si>
  <si>
    <t>Område med grunt hav rundt kontinentene. Ofte brukt om et lands økonomiske interessesone til sjøs.</t>
  </si>
  <si>
    <t>grunnerISjø</t>
  </si>
  <si>
    <t>skjærISjø</t>
  </si>
  <si>
    <t>Skjær i sjø</t>
  </si>
  <si>
    <t>Bergrunn nær eller rett over vannflaten.</t>
  </si>
  <si>
    <t>"place = islet", 576
"seamark:type = rock", 126
"natural = shoal", 77
"natural = coastline", 466
"natural = rock", 344</t>
  </si>
  <si>
    <t>fixme=consider seamark:type=rock or natural=shoal</t>
  </si>
  <si>
    <t>båeISjø</t>
  </si>
  <si>
    <t>Båe i sjø</t>
  </si>
  <si>
    <t>Spiss grunne; blindskjær som sjøen bryter over.</t>
  </si>
  <si>
    <t>"natural = rock", 2
"place = locality", 65
"seamark:type = rock", 65</t>
  </si>
  <si>
    <t>grunneISjø</t>
  </si>
  <si>
    <t>Grunne i sjø</t>
  </si>
  <si>
    <t>Markant forhøyning av havbunnen.</t>
  </si>
  <si>
    <t>Forhøyning på bunnen som skiller seg vesentlig fra høyden på bunnen omkring</t>
  </si>
  <si>
    <t>"place = locality", 140
"natural = shoal", 346</t>
  </si>
  <si>
    <t>klakkISjø</t>
  </si>
  <si>
    <t>Klakk i sjø</t>
  </si>
  <si>
    <t>Fjellknatt på sjøbunnen.</t>
  </si>
  <si>
    <t>Spiss grunne</t>
  </si>
  <si>
    <t>revISjø</t>
  </si>
  <si>
    <t>Grunne, banke av stein/fjell (som strekker seg ut fra en kyst).</t>
  </si>
  <si>
    <t>kystkontur</t>
  </si>
  <si>
    <t>sundISjø</t>
  </si>
  <si>
    <t>Sund i sjø</t>
  </si>
  <si>
    <t>Innsnevret område mellom øyer eller fastland.</t>
  </si>
  <si>
    <t>Innsnevret område mellom øyer eller fastland</t>
  </si>
  <si>
    <t>"natural = strait", 389</t>
  </si>
  <si>
    <t>vikISjø</t>
  </si>
  <si>
    <t>Vik i sjø</t>
  </si>
  <si>
    <t>Kil, bukt.</t>
  </si>
  <si>
    <t>Kil, bukt</t>
  </si>
  <si>
    <t>"natural = bay", 1583</t>
  </si>
  <si>
    <t>øyISjø</t>
  </si>
  <si>
    <t>Øy i sjø</t>
  </si>
  <si>
    <t>Tørt landområde atskilt fra fastlandet.</t>
  </si>
  <si>
    <t>Tørt landområde atskilt fra fastlandet</t>
  </si>
  <si>
    <t>"place = islet", 127
"type = multipolygon", 110
"natural = wood", 8
"natural = coastline", 130
"place = island", 131</t>
  </si>
  <si>
    <t>holmeISjø</t>
  </si>
  <si>
    <t>Holme i sjø</t>
  </si>
  <si>
    <t>Liten øy.</t>
  </si>
  <si>
    <t>Liten øy / lite skjær</t>
  </si>
  <si>
    <t>"place = islet", 1330
"type = multipolygon", 103
"natural = coastline", 1190</t>
  </si>
  <si>
    <t>halvøyISjø</t>
  </si>
  <si>
    <t>Halvøy i sjø</t>
  </si>
  <si>
    <t>Større nes med smalt eid mot fastland.</t>
  </si>
  <si>
    <t>Større nes med smalt eid mot fastland</t>
  </si>
  <si>
    <t>"place = locality", 9
"natural = cape", 50</t>
  </si>
  <si>
    <t>nesISjø</t>
  </si>
  <si>
    <t>Nes i sjø</t>
  </si>
  <si>
    <t>Landområde stikkende ut i sjø.</t>
  </si>
  <si>
    <t>Landområde stikkende ut i sjø</t>
  </si>
  <si>
    <t>"place = locality", 53
"natural = cape", 875</t>
  </si>
  <si>
    <t>eidISjø</t>
  </si>
  <si>
    <t>Eid i sjø</t>
  </si>
  <si>
    <t>Landstripe med sjø på begge sider som binder sammen to landområder.</t>
  </si>
  <si>
    <t>Landstripe med sjø på begge sider som binder sammen to landområder</t>
  </si>
  <si>
    <t>strandISjø</t>
  </si>
  <si>
    <t>Strand i sjø</t>
  </si>
  <si>
    <t>Sand-, grus- eller steindekket område i sjøkanten.</t>
  </si>
  <si>
    <t>Sand-, grus- eller steindekket område i sjøkanten</t>
  </si>
  <si>
    <t>"place = hamlet", 2
"surface = sand", 13
"type = multipolygon", 8
"layer = 2", 7
"place = locality", 29
"natural = beach", 43</t>
  </si>
  <si>
    <t>vågISjø</t>
  </si>
  <si>
    <t>Våg i sjø</t>
  </si>
  <si>
    <t>Fjordarm, større vik.</t>
  </si>
  <si>
    <t>Fjordarm, større vik</t>
  </si>
  <si>
    <t>"natural = bay", 22</t>
  </si>
  <si>
    <t>øygruppeISjø</t>
  </si>
  <si>
    <t>Øygruppe i sjø</t>
  </si>
  <si>
    <t>To eller flere øyer.</t>
  </si>
  <si>
    <t>To eller flere øyer. Eks. Hvaler, Lofoten</t>
  </si>
  <si>
    <t>"place = islet", 21
"type = multipolygon", 3
"place = archipelago", 2
"natural = cape", 2
"natural = coastline", 21
"place = island", 6</t>
  </si>
  <si>
    <t>holmegruppeISjø</t>
  </si>
  <si>
    <t>Holmegruppe i sjø</t>
  </si>
  <si>
    <t>To eller flere små øyer.</t>
  </si>
  <si>
    <t>Flere små skjær</t>
  </si>
  <si>
    <t>"natural = coastline", 16
"place = islet", 17</t>
  </si>
  <si>
    <t>sjøbunn</t>
  </si>
  <si>
    <t>renneKløftISjø</t>
  </si>
  <si>
    <t>Renne/kløft i sjø</t>
  </si>
  <si>
    <t>Undersjøisk dal, kanal, senkning, ravine, fure, spor, rille og lignende</t>
  </si>
  <si>
    <t>Undersjøisk dal, kanal, senkning, ravine, fure, spor, rille</t>
  </si>
  <si>
    <t>bankeISjø</t>
  </si>
  <si>
    <t>Banke i sjø</t>
  </si>
  <si>
    <t>Større grunt område i sjøen med dypere vann omkring; fiskegrunn.</t>
  </si>
  <si>
    <t>Flatt, større undervannsområde eller flak</t>
  </si>
  <si>
    <t>bakkeISjø</t>
  </si>
  <si>
    <t>Bakke i sjø</t>
  </si>
  <si>
    <t>Skrånende sjøbunn.</t>
  </si>
  <si>
    <t>Skrånende sjøbunn; skråning</t>
  </si>
  <si>
    <t>søkkISjø</t>
  </si>
  <si>
    <t>Søkk i sjø</t>
  </si>
  <si>
    <t>Stor eller liten grop på sjøbunnen.</t>
  </si>
  <si>
    <t>Stor eller liten grop på sjøbunnen; hull, høl, åpning</t>
  </si>
  <si>
    <t>havdyp</t>
  </si>
  <si>
    <t>Dyp (havdyp)</t>
  </si>
  <si>
    <t>Stort, dypt område i havet.</t>
  </si>
  <si>
    <t>Område mer enn 200–300 meter under havflaten</t>
  </si>
  <si>
    <t>ryggISjø</t>
  </si>
  <si>
    <t>Rygg i sjø</t>
  </si>
  <si>
    <t>Undersjøisk ås, åskam eller fjellrygg.</t>
  </si>
  <si>
    <t>Undersjøisk ås, åskam, fjellrygg</t>
  </si>
  <si>
    <t>eggISjø</t>
  </si>
  <si>
    <t>Egg i sjø</t>
  </si>
  <si>
    <t>Undersjøisk kant mot havdyp.</t>
  </si>
  <si>
    <t>Undersjøisk kant mot havdyp</t>
  </si>
  <si>
    <t>gass-OljefeltISjø</t>
  </si>
  <si>
    <t>Gass/Oljefelt i sjø</t>
  </si>
  <si>
    <t>Navngitt gass- eller oljefelt i havet.</t>
  </si>
  <si>
    <t>Gassfelt og oljefelt i havet</t>
  </si>
  <si>
    <t>waterway=offshore_field</t>
  </si>
  <si>
    <t>bakketoppISjø</t>
  </si>
  <si>
    <t>Undersjøisk knaus, kolle eller haug.</t>
  </si>
  <si>
    <t>fjelltoppISjø</t>
  </si>
  <si>
    <t>Undersjøisk fjelltopp.</t>
  </si>
  <si>
    <t>hylleISjø</t>
  </si>
  <si>
    <t>Undersjøisk benk; klippeavsats, kant, fremspring, avsats.</t>
  </si>
  <si>
    <t>korallrev</t>
  </si>
  <si>
    <t>Rev som er dannet av koraller.</t>
  </si>
  <si>
    <t>natural=reef</t>
  </si>
  <si>
    <t>moreneryggISjø</t>
  </si>
  <si>
    <t>Marin israndavsetning.</t>
  </si>
  <si>
    <t>platåISjø</t>
  </si>
  <si>
    <t>Stor, flat forhøyning som skiller seg fra havbunnen omkring.</t>
  </si>
  <si>
    <t>rasISjø</t>
  </si>
  <si>
    <t>Undersjøisk rasområde med stein, jord, sand eller leire.</t>
  </si>
  <si>
    <t>sadelISjø</t>
  </si>
  <si>
    <t>Undersjøisk skar mellom to høyere topper/rygger.</t>
  </si>
  <si>
    <t>sokkelISjø</t>
  </si>
  <si>
    <t>Undersjøisk fjellfot.</t>
  </si>
  <si>
    <t>undersjøiskVegg</t>
  </si>
  <si>
    <t>Fjellside i havet.</t>
  </si>
  <si>
    <t>vulkanISjø</t>
  </si>
  <si>
    <t>Vulkan eller slamvulkan på havbunnen.</t>
  </si>
  <si>
    <t>terreng</t>
  </si>
  <si>
    <t>flater</t>
  </si>
  <si>
    <t>slette</t>
  </si>
  <si>
    <t>Slette</t>
  </si>
  <si>
    <t>Åpent, flatt område.</t>
  </si>
  <si>
    <t>Åpent, flatt, ikke skogbevokst, område</t>
  </si>
  <si>
    <t>"place = locality", 49</t>
  </si>
  <si>
    <t>mo</t>
  </si>
  <si>
    <t>Mo</t>
  </si>
  <si>
    <t>Større, flatt landområde (ofte skogkledd).</t>
  </si>
  <si>
    <t>Flatt område, vanligvis skogkledd</t>
  </si>
  <si>
    <t>høyder</t>
  </si>
  <si>
    <t>berg</t>
  </si>
  <si>
    <t>Berg</t>
  </si>
  <si>
    <t>Markert eller avrunda høyde med stein, steinmasse (med eller uten vegetasjon).</t>
  </si>
  <si>
    <t>Mindre fjell</t>
  </si>
  <si>
    <t>"natural = peak", 14
"place = locality", 138
"natural = hill", 224</t>
  </si>
  <si>
    <t>natural=hill</t>
  </si>
  <si>
    <t>Natural=peak would have created a lot of noise on the map (example: Lista). Peak is mostly used for large and distinct mountains.</t>
  </si>
  <si>
    <t>fjell</t>
  </si>
  <si>
    <t>Fjell</t>
  </si>
  <si>
    <t>Høyereliggende område (over tregrensa) med stein og sva og lite vegetasjon som reiser seg over landskapet omkring (med høye berg og nuter).</t>
  </si>
  <si>
    <t>Stort fjell</t>
  </si>
  <si>
    <t>"natural = peak", 153
"place = locality", 167
"man_made = survey_point", 18
"natural = hill", 169</t>
  </si>
  <si>
    <t>fixme=consider natural=peak for the most distinct mountains in the district</t>
  </si>
  <si>
    <t>hei</t>
  </si>
  <si>
    <t>Hei</t>
  </si>
  <si>
    <t>Berglendt, høyere beliggende område med beitemark.</t>
  </si>
  <si>
    <t>Berglendt, høyere beliggende område med beitemark</t>
  </si>
  <si>
    <t>"place = locality", 1485
"natural = heath", 59
"natural = hill", 1472</t>
  </si>
  <si>
    <t>Heath requires a specific vegetaion</t>
  </si>
  <si>
    <t>høyde</t>
  </si>
  <si>
    <t>Høyde</t>
  </si>
  <si>
    <t>Høyereliggende terrengform, mindre omfattende enn ås og større enn haug.</t>
  </si>
  <si>
    <t>Mindre terrengform som ikke vurderes som fjell</t>
  </si>
  <si>
    <t>"place = locality", 607
"natural = hill", 908</t>
  </si>
  <si>
    <t>ås</t>
  </si>
  <si>
    <t>Ås</t>
  </si>
  <si>
    <t>Langstrakt høydedrag.</t>
  </si>
  <si>
    <t>Langstrakt høydedrag</t>
  </si>
  <si>
    <t>"natural = peak", 415
"place = locality", 1757
"natural = ridge", 286
"natural = hill", 3119</t>
  </si>
  <si>
    <t>"Ås" is more similar to a hill than to a ridge</t>
  </si>
  <si>
    <t>rygg</t>
  </si>
  <si>
    <t>Rygg</t>
  </si>
  <si>
    <t>Langstrakt terrengform.</t>
  </si>
  <si>
    <t>Langstrakt terrengform</t>
  </si>
  <si>
    <t>"place = locality", 146
"natural = ridge", 202
"natural = hill", 67</t>
  </si>
  <si>
    <t>natural=ridge</t>
  </si>
  <si>
    <t>haug</t>
  </si>
  <si>
    <t>Haug</t>
  </si>
  <si>
    <t>Liten, markant forhøynet terrengform.</t>
  </si>
  <si>
    <t>Liten, markant terrengform</t>
  </si>
  <si>
    <t>"natural = peak", 121
"place = locality", 746
"natural = hill", 1064</t>
  </si>
  <si>
    <t>topp</t>
  </si>
  <si>
    <t>Topp (fjelltopp/tind)</t>
  </si>
  <si>
    <t>Tind, markant topp på fjell, berg, ås osv.</t>
  </si>
  <si>
    <t>Øverste fjelltopp</t>
  </si>
  <si>
    <t>"natural = peak", 22
"natural = hill", 16</t>
  </si>
  <si>
    <t>Also less significant hills in the dataset</t>
  </si>
  <si>
    <t>fjellkant</t>
  </si>
  <si>
    <t>Fjellkant (aksel)</t>
  </si>
  <si>
    <t>Aksel, skulder, nese og bryn.</t>
  </si>
  <si>
    <t>Skulder, nese, bryn</t>
  </si>
  <si>
    <t>senkninger</t>
  </si>
  <si>
    <t>dalføre</t>
  </si>
  <si>
    <t>Dalføre</t>
  </si>
  <si>
    <t>Stor dal med sidedaler.</t>
  </si>
  <si>
    <t>Stor dal med sidedaler. Eks. Gudbrandsdalen, Namdalen, Setesdal, Valdres</t>
  </si>
  <si>
    <t>natural=valley</t>
  </si>
  <si>
    <t>dal</t>
  </si>
  <si>
    <t>Dal</t>
  </si>
  <si>
    <t>Mellomstor eller liten dal.</t>
  </si>
  <si>
    <t>Mellomstor eller liten dal</t>
  </si>
  <si>
    <t>"natural = valley", 1085
"place = locality", 759</t>
  </si>
  <si>
    <t>botn</t>
  </si>
  <si>
    <t>Botn</t>
  </si>
  <si>
    <t>Innerste del av en dal; rundaktig, bratt dal eller uthulning i fjellet.</t>
  </si>
  <si>
    <t>Innerste del av dal; rundaktig, bratt dal el. uthulning i fjellet</t>
  </si>
  <si>
    <t>"natural = valley", 30
"place = locality", 35</t>
  </si>
  <si>
    <t>skar</t>
  </si>
  <si>
    <t>Skar</t>
  </si>
  <si>
    <t>Markant senkning i fjell eller berg.</t>
  </si>
  <si>
    <t>Markant senkning i fjell el. berg</t>
  </si>
  <si>
    <t>"natural = valley", 69
"place = locality", 55</t>
  </si>
  <si>
    <t>juv</t>
  </si>
  <si>
    <t>Juv</t>
  </si>
  <si>
    <t>Kløftlignende dal eller canyon.</t>
  </si>
  <si>
    <t>Kløftlignende dal, canyon</t>
  </si>
  <si>
    <t>"natural = gorge", 4</t>
  </si>
  <si>
    <t>natural=gorge</t>
  </si>
  <si>
    <t>søkk</t>
  </si>
  <si>
    <t>Søkk</t>
  </si>
  <si>
    <t>Mindre markant, begrenset fordypning.</t>
  </si>
  <si>
    <t>Mindre markant, begrenset fordypning</t>
  </si>
  <si>
    <t>"natural = wetland", 3
"wetland = bog", 2
"natural = valley", 40
"place = locality", 28</t>
  </si>
  <si>
    <t xml:space="preserve"> </t>
  </si>
  <si>
    <t>senkning</t>
  </si>
  <si>
    <t>Senkning</t>
  </si>
  <si>
    <t>Flat forsenkning, dalsenkning.</t>
  </si>
  <si>
    <t>Flat forsenkning, dalsenkning</t>
  </si>
  <si>
    <t>"natural = valley", 27
"place = locality", 27</t>
  </si>
  <si>
    <t>krater</t>
  </si>
  <si>
    <t>Skål- eller traktformet senkning i jordoverflaten forårsaket av vulkansk aktivitet eller av meteorittnedslag.</t>
  </si>
  <si>
    <t>skråninger</t>
  </si>
  <si>
    <t>bakke</t>
  </si>
  <si>
    <t>Bakke</t>
  </si>
  <si>
    <t>Terrengskråning, særlig om siden av en ås eller haug.</t>
  </si>
  <si>
    <t>Skråning</t>
  </si>
  <si>
    <t>"place = locality", 168
"natural = slope", 158</t>
  </si>
  <si>
    <t>natural=slope</t>
  </si>
  <si>
    <t>li</t>
  </si>
  <si>
    <t>Li</t>
  </si>
  <si>
    <t>Skrånende terreng.</t>
  </si>
  <si>
    <t>Skrånende terreng</t>
  </si>
  <si>
    <t>"place = locality", 364
"natural = slope", 351</t>
  </si>
  <si>
    <t>fjellside</t>
  </si>
  <si>
    <t>Fjellside</t>
  </si>
  <si>
    <t>Åpent, skrånende terreng i fjellet.</t>
  </si>
  <si>
    <t>Åpent, skrånende terreng i fjellet</t>
  </si>
  <si>
    <t>"place = locality", 24</t>
  </si>
  <si>
    <t>terrengdetaljer</t>
  </si>
  <si>
    <t>fjellområde</t>
  </si>
  <si>
    <t>Fjellområde</t>
  </si>
  <si>
    <t>Større område med fjell og fjellandskap.</t>
  </si>
  <si>
    <t>Stort fjellområde. Eks. Rondane, Saltfjellet, Lyseheiane</t>
  </si>
  <si>
    <t>"natural = mountain_range", 6
"note = Please refine boundary based on local knowledge", 5</t>
  </si>
  <si>
    <t>natural=mountain_range</t>
  </si>
  <si>
    <t>Depracted?</t>
  </si>
  <si>
    <t>stup</t>
  </si>
  <si>
    <t>Stup</t>
  </si>
  <si>
    <t>Loddrett, svært bratt berg.</t>
  </si>
  <si>
    <t>Loddrett eller svært bratt, fallende terreng</t>
  </si>
  <si>
    <t>"natural = cliff", 86</t>
  </si>
  <si>
    <t>natural=cliff</t>
  </si>
  <si>
    <t>vidde</t>
  </si>
  <si>
    <t>Vidde</t>
  </si>
  <si>
    <t>Høyereliggende (fjell)område med lite høydevariasjoner innenfor området, som regel over tregrensa.</t>
  </si>
  <si>
    <t>Høyereliggende, større område uten skog med lave terrengvariasjoner  innenfor området. Eks. Valdresflye, Hardangervidda, Finnmarksvidda, Laksefjordvidda</t>
  </si>
  <si>
    <t>natural=plateau</t>
  </si>
  <si>
    <t>heller</t>
  </si>
  <si>
    <t>Heller</t>
  </si>
  <si>
    <t>Utoverhengende bergvegg eller berghule.</t>
  </si>
  <si>
    <t>Utoverhengende bergvegg, berghule</t>
  </si>
  <si>
    <t>hylle</t>
  </si>
  <si>
    <t>Hylle (hjell)</t>
  </si>
  <si>
    <t>Flatt, tilnærmet vannrett område i fjellside.</t>
  </si>
  <si>
    <t>Flatt område i fjellside</t>
  </si>
  <si>
    <t>"place = locality", 10</t>
  </si>
  <si>
    <t>annenTerrengdetalj</t>
  </si>
  <si>
    <t>Terrengdetalj</t>
  </si>
  <si>
    <t>Små detaljer som ikke dekkes av andre navneobjekttyper innenfor kategorien.</t>
  </si>
  <si>
    <t>Alle typer små naturdetaljer, f.eks. sprekker, hulveier, sand-/stein- /grusflater. Skriv forklaring i merknadsfeltet.</t>
  </si>
  <si>
    <t>"place = locality", 79</t>
  </si>
  <si>
    <t>landskapsområde</t>
  </si>
  <si>
    <t>Landskapsområde</t>
  </si>
  <si>
    <t>Område der drag i landskapet, naturforhold, arealbruk og bosetting er samlende og skiller seg fra tilgrensende områder.</t>
  </si>
  <si>
    <t>Stort landskapsområde. Eks. Dalane, Jæren, Romerike, Grenland, Salten,  Varanger</t>
  </si>
  <si>
    <t>grotte</t>
  </si>
  <si>
    <t>Grotte</t>
  </si>
  <si>
    <t>Naturlig fjellgrotte.</t>
  </si>
  <si>
    <t>Naturlig fjellgrotte</t>
  </si>
  <si>
    <t>natural=cave_entrance</t>
  </si>
  <si>
    <t>geologiskStruktur</t>
  </si>
  <si>
    <t>Geologisk struktur</t>
  </si>
  <si>
    <t>Navngitt struktur/formasjon i berggrunnen.</t>
  </si>
  <si>
    <t>Geologisk formasjon under jordoverflaten, på land og i havet</t>
  </si>
  <si>
    <t>terrengområder</t>
  </si>
  <si>
    <t>skogområde</t>
  </si>
  <si>
    <t>Skogområde</t>
  </si>
  <si>
    <t>Større område med skog og mark.</t>
  </si>
  <si>
    <t>Stort skogområde. Eks. Nordmarka, Bymarka, Finnskogen</t>
  </si>
  <si>
    <t>"place = locality", 16</t>
  </si>
  <si>
    <t>natural=wood</t>
  </si>
  <si>
    <t>Tømmerrenne</t>
  </si>
  <si>
    <t>Kunstig tømmeranlegg</t>
  </si>
  <si>
    <t>NA</t>
  </si>
</sst>
</file>

<file path=xl/styles.xml><?xml version="1.0" encoding="utf-8"?>
<styleSheet xmlns="http://schemas.openxmlformats.org/spreadsheetml/2006/main">
  <numFmts count="0"/>
  <fonts count="8">
    <font>
      <name val="Calibri"/>
      <family val="2"/>
      <color theme="1"/>
      <sz val="12"/>
      <scheme val="minor"/>
    </font>
    <font>
      <name val="Calibri (Brødtekst)"/>
      <color theme="1"/>
      <sz val="12"/>
    </font>
    <font>
      <name val="Calibri"/>
      <family val="2"/>
      <color rgb="FF000000"/>
      <sz val="12"/>
      <scheme val="minor"/>
    </font>
    <font>
      <name val="Calibri (Brødtekst)"/>
      <color rgb="FF000000"/>
      <sz val="12"/>
    </font>
    <font>
      <name val="Calibri"/>
      <family val="2"/>
      <color theme="10"/>
      <sz val="12"/>
      <u val="single"/>
      <scheme val="minor"/>
    </font>
    <font>
      <name val="Calibri"/>
      <family val="2"/>
      <color theme="11"/>
      <sz val="12"/>
      <u val="single"/>
      <scheme val="minor"/>
    </font>
    <font>
      <name val="Calibri (Brødtekst)"/>
      <sz val="12"/>
    </font>
    <font>
      <name val="Calibri"/>
      <family val="2"/>
      <sz val="12"/>
      <scheme val="minor"/>
    </font>
  </fonts>
  <fills count="3">
    <fill>
      <patternFill/>
    </fill>
    <fill>
      <patternFill patternType="gray125"/>
    </fill>
    <fill>
      <patternFill patternType="solid">
        <fgColor rgb="FFDDEBF7"/>
        <bgColor rgb="FFDDEBF7"/>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3">
    <xf borderId="0" fillId="0" fontId="0" numFmtId="0"/>
    <xf borderId="0" fillId="0" fontId="4" numFmtId="0"/>
    <xf borderId="0" fillId="0" fontId="5" numFmtId="0"/>
  </cellStyleXfs>
  <cellXfs count="17">
    <xf borderId="0" fillId="0" fontId="0" numFmtId="0" pivotButton="0" quotePrefix="0" xfId="0"/>
    <xf applyAlignment="1" borderId="0" fillId="0" fontId="0" numFmtId="0" pivotButton="0" quotePrefix="0" xfId="0">
      <alignment wrapText="1"/>
    </xf>
    <xf applyAlignment="1" borderId="0" fillId="0" fontId="1" numFmtId="0" pivotButton="0" quotePrefix="0" xfId="0">
      <alignment vertical="top" wrapText="1"/>
    </xf>
    <xf applyAlignment="1" borderId="0" fillId="0" fontId="3" numFmtId="0" pivotButton="0" quotePrefix="0" xfId="0">
      <alignment vertical="top" wrapText="1"/>
    </xf>
    <xf applyAlignment="1" borderId="0" fillId="0" fontId="0" numFmtId="0" pivotButton="0" quotePrefix="0" xfId="0">
      <alignment vertical="top" wrapText="1"/>
    </xf>
    <xf applyAlignment="1" borderId="0" fillId="0" fontId="0" numFmtId="0" pivotButton="0" quotePrefix="0" xfId="0">
      <alignment vertical="top" wrapText="1"/>
    </xf>
    <xf applyAlignment="1" borderId="0" fillId="0" fontId="0" numFmtId="0" pivotButton="0" quotePrefix="0" xfId="0">
      <alignment vertical="top"/>
    </xf>
    <xf applyAlignment="1" borderId="0" fillId="0" fontId="2" numFmtId="0" pivotButton="0" quotePrefix="0" xfId="0">
      <alignment vertical="top"/>
    </xf>
    <xf applyAlignment="1" borderId="0" fillId="0" fontId="0" numFmtId="0" pivotButton="0" quotePrefix="0" xfId="0">
      <alignment vertical="top"/>
    </xf>
    <xf applyAlignment="1" borderId="0" fillId="0" fontId="0" numFmtId="0" pivotButton="0" quotePrefix="1" xfId="0">
      <alignment vertical="top" wrapText="1"/>
    </xf>
    <xf applyAlignment="1" borderId="0" fillId="2" fontId="2" numFmtId="0" pivotButton="0" quotePrefix="0" xfId="0">
      <alignment vertical="top"/>
    </xf>
    <xf applyAlignment="1" borderId="1" fillId="0" fontId="0" numFmtId="0" pivotButton="0" quotePrefix="0" xfId="0">
      <alignment vertical="top"/>
    </xf>
    <xf applyAlignment="1" borderId="0" fillId="0" fontId="0" numFmtId="0" pivotButton="0" quotePrefix="0" xfId="0">
      <alignment vertical="top"/>
    </xf>
    <xf applyAlignment="1" borderId="0" fillId="0" fontId="7" numFmtId="0" pivotButton="0" quotePrefix="0" xfId="0">
      <alignment vertical="top" wrapText="1"/>
    </xf>
    <xf applyAlignment="1" borderId="0" fillId="0" fontId="7" numFmtId="0" pivotButton="0" quotePrefix="0" xfId="0">
      <alignment vertical="top"/>
    </xf>
    <xf applyAlignment="1" borderId="0" fillId="0" fontId="6" numFmtId="0" pivotButton="0" quotePrefix="0" xfId="0">
      <alignment vertical="top"/>
    </xf>
    <xf borderId="0" fillId="0" fontId="2" numFmtId="0" pivotButton="0" quotePrefix="0" xfId="0"/>
  </cellXfs>
  <cellStyles count="3">
    <cellStyle builtinId="0" name="Normal" xfId="0"/>
    <cellStyle builtinId="8" hidden="1" name="Hyperkobling" xfId="1"/>
    <cellStyle builtinId="9" hidden="1" name="Benyttet hyperkobling" xfId="2"/>
  </cellStyles>
  <dxfs count="18">
    <dxf>
      <alignment horizontal="general" vertical="top" wrapText="1"/>
    </dxf>
    <dxf>
      <alignment horizontal="general" vertical="top" wrapText="1"/>
    </dxf>
    <dxf>
      <alignment horizontal="general" vertical="top" wrapText="1"/>
    </dxf>
    <dxf>
      <numFmt formatCode="General" numFmtId="0"/>
      <alignment horizontal="general" vertical="top" wrapText="1"/>
    </dxf>
    <dxf>
      <alignment horizontal="general" vertical="top" wrapText="1"/>
    </dxf>
    <dxf>
      <alignment horizontal="general" vertical="top"/>
    </dxf>
    <dxf>
      <font>
        <strike val="0"/>
        <outline val="0"/>
        <shadow val="0"/>
        <color theme="1"/>
        <sz val="12"/>
        <vertAlign val="baseline"/>
      </font>
      <alignment horizontal="general" vertical="top" wrapText="1"/>
    </dxf>
    <dxf>
      <alignment horizontal="general" vertical="top"/>
    </dxf>
    <dxf>
      <font>
        <name val="Calibri (Brødtekst)"/>
        <strike val="0"/>
        <outline val="0"/>
        <shadow val="0"/>
        <condense val="0"/>
        <color theme="1"/>
        <extend val="0"/>
        <sz val="12"/>
        <vertAlign val="baseline"/>
      </font>
      <alignment horizontal="general" vertical="top" wrapText="1"/>
    </dxf>
    <dxf>
      <alignment horizontal="general" vertical="top"/>
    </dxf>
    <dxf>
      <alignment horizontal="general" vertical="top"/>
    </dxf>
    <dxf>
      <font>
        <name val="Calibri"/>
        <strike val="0"/>
        <outline val="0"/>
        <shadow val="0"/>
        <condense val="0"/>
        <color theme="1"/>
        <extend val="0"/>
        <sz val="12"/>
        <vertAlign val="baseline"/>
        <scheme val="minor"/>
      </font>
      <alignment horizontal="general" vertical="top"/>
    </dxf>
    <dxf>
      <alignment horizontal="general" vertical="top"/>
    </dxf>
    <dxf>
      <alignment horizontal="general" vertical="top"/>
    </dxf>
    <dxf>
      <alignment horizontal="general" vertical="top"/>
    </dxf>
    <dxf>
      <alignment horizontal="general" vertical="top"/>
    </dxf>
    <dxf>
      <alignment horizontal="general" vertical="top" wrapText="1"/>
    </dxf>
    <dxf>
      <alignment horizontal="general" vertical="top" wrapText="1"/>
    </dxf>
  </dxfs>
  <tableStyles count="0" defaultPivotStyle="PivotStyleMedium7"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ables/table1.xml><?xml version="1.0" encoding="utf-8"?>
<table xmlns="http://schemas.openxmlformats.org/spreadsheetml/2006/main" dataDxfId="16" displayName="Tabell1" headerRowCount="1" headerRowDxfId="17" id="1" name="Tabell1" ref="A1:P271" totalsRowShown="0">
  <autoFilter ref="A1:P271"/>
  <sortState ref="A2:P271">
    <sortCondition ref="B1:B271"/>
  </sortState>
  <tableColumns count="16">
    <tableColumn dataDxfId="15" id="1" name="SSR1 gruppe"/>
    <tableColumn dataDxfId="14" id="2" name="SSR2 kategori"/>
    <tableColumn dataDxfId="13" id="13" name="SSR2 gruppe"/>
    <tableColumn dataDxfId="12" id="3" name="SSR1 navntype"/>
    <tableColumn dataDxfId="11" id="4" name="SSR2 navnetype"/>
    <tableColumn dataDxfId="1" id="16" name="SSR2 antall"/>
    <tableColumn dataDxfId="10" id="5" name="SSR1 antall"/>
    <tableColumn dataDxfId="9" id="6" name="SSR1 namn"/>
    <tableColumn dataDxfId="8" id="7" name="SSR2 beskrivelse"/>
    <tableColumn dataDxfId="7" id="8" name="SSR1 skildring"/>
    <tableColumn dataDxfId="0" id="15" name="Tags brukt i OSM, antall"/>
    <tableColumn dataDxfId="6" id="9" name="OSM tag"/>
    <tableColumn dataDxfId="5" id="10" name="tillegg"/>
    <tableColumn dataDxfId="4" id="11" name="fixme"/>
    <tableColumn dataDxfId="3" id="14" name="tag">
      <calculatedColumnFormula>CONCATENATE(Tabell1[[#This Row],[OSM tag]],";",Tabell1[[#This Row],[tillegg]],";",Tabell1[[#This Row],[fixme]])</calculatedColumnFormula>
    </tableColumn>
    <tableColumn dataDxfId="2" id="12" name="kommentar"/>
  </tableColumns>
  <tableStyleInfo name="TableStyleMedium9" showColumnStripes="0" showFirstColumn="0" showLastColumn="0" showRowStripes="1"/>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Id="rId1" Target="/xl/tables/table1.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R271"/>
  <sheetViews>
    <sheetView tabSelected="1" topLeftCell="B1" workbookViewId="0">
      <selection activeCell="K2" sqref="K2"/>
    </sheetView>
  </sheetViews>
  <sheetFormatPr baseColWidth="10" defaultRowHeight="16" outlineLevelCol="0"/>
  <cols>
    <col customWidth="1" hidden="1" max="1" min="1" style="12" width="8.1640625"/>
    <col customWidth="1" max="2" min="2" style="12" width="15"/>
    <col customWidth="1" max="3" min="3" style="12" width="21"/>
    <col customWidth="1" max="4" min="4" style="12" width="10.6640625"/>
    <col customWidth="1" max="5" min="5" style="12" width="27"/>
    <col customWidth="1" max="6" min="6" style="5" width="12.33203125"/>
    <col customWidth="1" max="7" min="7" style="12" width="10.83203125"/>
    <col customWidth="1" hidden="1" max="8" min="8" style="12" width="20.1640625"/>
    <col customWidth="1" max="9" min="9" style="2" width="58.6640625"/>
    <col customWidth="1" hidden="1" max="10" min="10" style="5" width="17.5"/>
    <col customWidth="1" max="11" min="11" width="43.1640625"/>
    <col customWidth="1" max="12" min="12" style="5" width="43.5"/>
    <col customWidth="1" max="13" min="13" style="12" width="16.1640625"/>
    <col customWidth="1" max="16" min="14" style="5" width="42.1640625"/>
    <col customWidth="1" max="18" min="18" style="5" width="42.1640625"/>
  </cols>
  <sheetData>
    <row customFormat="1" customHeight="1" ht="34" r="1" s="1" spans="1:18">
      <c r="A1" s="5" t="s">
        <v>0</v>
      </c>
      <c r="B1" s="5" t="s">
        <v>1</v>
      </c>
      <c r="C1" s="5" t="s">
        <v>2</v>
      </c>
      <c r="D1" s="5" t="s">
        <v>3</v>
      </c>
      <c r="E1" s="5" t="s">
        <v>4</v>
      </c>
      <c r="F1" s="5" t="s">
        <v>5</v>
      </c>
      <c r="G1" s="5" t="s">
        <v>6</v>
      </c>
      <c r="H1" s="12" t="s">
        <v>7</v>
      </c>
      <c r="I1" s="2" t="s">
        <v>8</v>
      </c>
      <c r="J1" s="5" t="s">
        <v>9</v>
      </c>
      <c r="K1" s="5" t="s">
        <v>10</v>
      </c>
      <c r="L1" s="5" t="s">
        <v>11</v>
      </c>
      <c r="M1" s="5" t="s">
        <v>12</v>
      </c>
      <c r="N1" s="5" t="s">
        <v>13</v>
      </c>
      <c r="O1" s="5" t="s">
        <v>14</v>
      </c>
      <c r="P1" s="5" t="s">
        <v>15</v>
      </c>
    </row>
    <row customHeight="1" ht="34" r="2" spans="1:18">
      <c r="A2" s="12" t="n">
        <v>5</v>
      </c>
      <c r="B2" s="12" t="s">
        <v>16</v>
      </c>
      <c r="C2" s="12" t="s">
        <v>17</v>
      </c>
      <c r="D2" s="12" t="n">
        <v>100</v>
      </c>
      <c r="E2" s="12" t="s">
        <v>18</v>
      </c>
      <c r="F2" t="n">
        <v>124</v>
      </c>
      <c r="G2" s="12" t="n">
        <v>110</v>
      </c>
      <c r="H2" s="12" t="s">
        <v>19</v>
      </c>
      <c r="I2" s="2" t="s">
        <v>20</v>
      </c>
      <c r="J2" s="12" t="s">
        <v>21</v>
      </c>
      <c r="K2" s="1" t="s">
        <v>22</v>
      </c>
      <c r="L2" s="5" t="s">
        <v>23</v>
      </c>
      <c r="M2" s="12" t="n"/>
      <c r="O2" s="5">
        <f>CONCATENATE(Tabell1[[#This Row],[OSM tag]],";",Tabell1[[#This Row],[tillegg]],";",Tabell1[[#This Row],[fixme]])</f>
        <v/>
      </c>
      <c r="P2" s="5" t="s">
        <v>24</v>
      </c>
    </row>
    <row customHeight="1" ht="17" r="3" spans="1:18">
      <c r="A3" s="12" t="n">
        <v>5</v>
      </c>
      <c r="B3" s="12" t="s">
        <v>16</v>
      </c>
      <c r="C3" s="12" t="s">
        <v>17</v>
      </c>
      <c r="D3" s="12" t="n">
        <v>101</v>
      </c>
      <c r="E3" s="7" t="s">
        <v>25</v>
      </c>
      <c r="F3" t="n">
        <v>914</v>
      </c>
      <c r="G3" s="12" t="n">
        <v>866</v>
      </c>
      <c r="H3" s="12" t="s">
        <v>26</v>
      </c>
      <c r="I3" s="2" t="s">
        <v>27</v>
      </c>
      <c r="J3" s="12" t="s">
        <v>28</v>
      </c>
      <c r="K3" s="1" t="s">
        <v>29</v>
      </c>
      <c r="L3" s="5" t="s">
        <v>30</v>
      </c>
      <c r="O3" s="5">
        <f>CONCATENATE(Tabell1[[#This Row],[OSM tag]],";",Tabell1[[#This Row],[tillegg]],";",Tabell1[[#This Row],[fixme]])</f>
        <v/>
      </c>
    </row>
    <row customHeight="1" ht="34" r="4" spans="1:18">
      <c r="A4" s="12" t="n">
        <v>5</v>
      </c>
      <c r="B4" s="12" t="s">
        <v>16</v>
      </c>
      <c r="C4" s="12" t="s">
        <v>17</v>
      </c>
      <c r="D4" s="12" t="n">
        <v>102</v>
      </c>
      <c r="E4" s="7" t="s">
        <v>31</v>
      </c>
      <c r="F4" t="n">
        <v>1032</v>
      </c>
      <c r="G4" s="12" t="n">
        <v>845</v>
      </c>
      <c r="H4" s="12" t="s">
        <v>32</v>
      </c>
      <c r="I4" s="2" t="s">
        <v>33</v>
      </c>
      <c r="J4" s="12" t="s">
        <v>34</v>
      </c>
      <c r="K4" s="1" t="s">
        <v>35</v>
      </c>
      <c r="L4" s="5" t="s">
        <v>36</v>
      </c>
      <c r="M4" s="12" t="n"/>
      <c r="N4" s="5" t="s">
        <v>37</v>
      </c>
      <c r="O4" s="5">
        <f>CONCATENATE(Tabell1[[#This Row],[OSM tag]],";",Tabell1[[#This Row],[tillegg]],";",Tabell1[[#This Row],[fixme]])</f>
        <v/>
      </c>
      <c r="P4" s="5" t="s">
        <v>38</v>
      </c>
    </row>
    <row customHeight="1" ht="17" r="5" spans="1:18">
      <c r="A5" s="12" t="n">
        <v>5</v>
      </c>
      <c r="B5" s="12" t="s">
        <v>16</v>
      </c>
      <c r="C5" s="12" t="s">
        <v>17</v>
      </c>
      <c r="D5" s="12" t="n">
        <v>103</v>
      </c>
      <c r="E5" s="12" t="s">
        <v>39</v>
      </c>
      <c r="F5" t="n">
        <v>2117</v>
      </c>
      <c r="G5" s="12" t="n">
        <v>2132</v>
      </c>
      <c r="H5" s="12" t="s">
        <v>40</v>
      </c>
      <c r="I5" s="2" t="s">
        <v>41</v>
      </c>
      <c r="J5" s="12" t="s">
        <v>42</v>
      </c>
      <c r="K5" s="1" t="s">
        <v>43</v>
      </c>
      <c r="L5" s="5" t="s">
        <v>30</v>
      </c>
      <c r="N5" s="5" t="s">
        <v>44</v>
      </c>
      <c r="O5" s="5">
        <f>CONCATENATE(Tabell1[[#This Row],[OSM tag]],";",Tabell1[[#This Row],[tillegg]],";",Tabell1[[#This Row],[fixme]])</f>
        <v/>
      </c>
      <c r="P5" s="5" t="s">
        <v>45</v>
      </c>
    </row>
    <row customHeight="1" ht="17" r="6" spans="1:18">
      <c r="A6" s="12" t="n">
        <v>5</v>
      </c>
      <c r="B6" s="12" t="s">
        <v>16</v>
      </c>
      <c r="C6" s="12" t="s">
        <v>17</v>
      </c>
      <c r="D6" s="12" t="n">
        <v>104</v>
      </c>
      <c r="E6" s="12" t="s">
        <v>46</v>
      </c>
      <c r="F6" t="n">
        <v>3526</v>
      </c>
      <c r="G6" s="12" t="n">
        <v>3300</v>
      </c>
      <c r="H6" s="12" t="s">
        <v>47</v>
      </c>
      <c r="I6" s="2" t="s">
        <v>48</v>
      </c>
      <c r="J6" s="12" t="s">
        <v>49</v>
      </c>
      <c r="K6" s="1" t="s">
        <v>50</v>
      </c>
      <c r="L6" s="5" t="s">
        <v>51</v>
      </c>
      <c r="O6" s="5">
        <f>CONCATENATE(Tabell1[[#This Row],[OSM tag]],";",Tabell1[[#This Row],[tillegg]],";",Tabell1[[#This Row],[fixme]])</f>
        <v/>
      </c>
    </row>
    <row customHeight="1" ht="17" r="7" spans="1:18">
      <c r="A7" s="12" t="n">
        <v>5</v>
      </c>
      <c r="B7" s="12" t="s">
        <v>16</v>
      </c>
      <c r="C7" s="12" t="s">
        <v>17</v>
      </c>
      <c r="D7" s="12" t="n">
        <v>105</v>
      </c>
      <c r="E7" s="12" t="s">
        <v>52</v>
      </c>
      <c r="F7" t="n">
        <v>2852</v>
      </c>
      <c r="G7" s="12" t="n">
        <v>2027</v>
      </c>
      <c r="H7" s="12" t="s">
        <v>53</v>
      </c>
      <c r="I7" s="2" t="s">
        <v>54</v>
      </c>
      <c r="J7" s="12" t="s">
        <v>55</v>
      </c>
      <c r="K7" s="1" t="s">
        <v>56</v>
      </c>
      <c r="L7" s="5" t="s">
        <v>36</v>
      </c>
      <c r="O7" s="5">
        <f>CONCATENATE(Tabell1[[#This Row],[OSM tag]],";",Tabell1[[#This Row],[tillegg]],";",Tabell1[[#This Row],[fixme]])</f>
        <v/>
      </c>
    </row>
    <row customHeight="1" ht="17" r="8" spans="1:18">
      <c r="A8" s="12" t="n">
        <v>5</v>
      </c>
      <c r="B8" s="12" t="s">
        <v>16</v>
      </c>
      <c r="C8" s="12" t="s">
        <v>17</v>
      </c>
      <c r="D8" s="12" t="n">
        <v>107</v>
      </c>
      <c r="E8" s="12" t="s">
        <v>57</v>
      </c>
      <c r="F8" t="n">
        <v>486</v>
      </c>
      <c r="G8" s="12" t="n">
        <v>372</v>
      </c>
      <c r="H8" s="12" t="s">
        <v>58</v>
      </c>
      <c r="I8" s="2" t="s">
        <v>59</v>
      </c>
      <c r="J8" s="12" t="s">
        <v>60</v>
      </c>
      <c r="K8" s="1" t="s">
        <v>61</v>
      </c>
      <c r="L8" s="5" t="s">
        <v>36</v>
      </c>
      <c r="O8" s="5">
        <f>CONCATENATE(Tabell1[[#This Row],[OSM tag]],";",Tabell1[[#This Row],[tillegg]],";",Tabell1[[#This Row],[fixme]])</f>
        <v/>
      </c>
    </row>
    <row customHeight="1" ht="17" r="9" spans="1:18">
      <c r="A9" s="12" t="n">
        <v>5</v>
      </c>
      <c r="B9" s="12" t="s">
        <v>16</v>
      </c>
      <c r="C9" s="12" t="s">
        <v>17</v>
      </c>
      <c r="D9" s="12" t="n">
        <v>132</v>
      </c>
      <c r="E9" s="12" t="s">
        <v>62</v>
      </c>
      <c r="F9" t="n">
        <v>457</v>
      </c>
      <c r="G9" s="12" t="n">
        <v>395</v>
      </c>
      <c r="H9" s="12" t="s">
        <v>63</v>
      </c>
      <c r="I9" s="2" t="s">
        <v>64</v>
      </c>
      <c r="J9" s="12" t="s">
        <v>65</v>
      </c>
      <c r="K9" s="1" t="s">
        <v>66</v>
      </c>
      <c r="L9" s="5" t="s">
        <v>67</v>
      </c>
      <c r="O9" s="5">
        <f>CONCATENATE(Tabell1[[#This Row],[OSM tag]],";",Tabell1[[#This Row],[tillegg]],";",Tabell1[[#This Row],[fixme]])</f>
        <v/>
      </c>
    </row>
    <row customHeight="1" ht="34" r="10" spans="1:18">
      <c r="A10" s="12" t="n">
        <v>5</v>
      </c>
      <c r="B10" s="12" t="s">
        <v>16</v>
      </c>
      <c r="C10" s="12" t="s">
        <v>17</v>
      </c>
      <c r="D10" s="12" t="n">
        <v>228</v>
      </c>
      <c r="E10" s="12" t="s">
        <v>68</v>
      </c>
      <c r="F10" t="n">
        <v>885</v>
      </c>
      <c r="G10" s="12" t="n">
        <v>536</v>
      </c>
      <c r="H10" s="12" t="s">
        <v>69</v>
      </c>
      <c r="I10" s="2" t="s">
        <v>70</v>
      </c>
      <c r="J10" s="12" t="s">
        <v>71</v>
      </c>
      <c r="K10" s="1" t="s">
        <v>72</v>
      </c>
      <c r="L10" s="5" t="s">
        <v>73</v>
      </c>
      <c r="O10" s="5">
        <f>CONCATENATE(Tabell1[[#This Row],[OSM tag]],";",Tabell1[[#This Row],[tillegg]],";",Tabell1[[#This Row],[fixme]])</f>
        <v/>
      </c>
    </row>
    <row customHeight="1" ht="17" r="11" spans="1:18">
      <c r="A11" s="12" t="n">
        <v>6</v>
      </c>
      <c r="B11" s="7" t="s">
        <v>16</v>
      </c>
      <c r="C11" s="12" t="s">
        <v>17</v>
      </c>
      <c r="D11" s="12" t="n">
        <v>232</v>
      </c>
      <c r="E11" s="12" t="s">
        <v>74</v>
      </c>
      <c r="F11" t="n">
        <v>188</v>
      </c>
      <c r="G11" s="12" t="n">
        <v>112</v>
      </c>
      <c r="H11" s="12" t="s">
        <v>75</v>
      </c>
      <c r="I11" s="2" t="s">
        <v>76</v>
      </c>
      <c r="J11" s="12" t="s">
        <v>77</v>
      </c>
      <c r="K11" s="1" t="s">
        <v>78</v>
      </c>
      <c r="L11" s="5" t="s">
        <v>79</v>
      </c>
      <c r="O11" s="5">
        <f>CONCATENATE(Tabell1[[#This Row],[OSM tag]],";",Tabell1[[#This Row],[tillegg]],";",Tabell1[[#This Row],[fixme]])</f>
        <v/>
      </c>
    </row>
    <row customHeight="1" ht="17" r="12" spans="1:18">
      <c r="A12" s="12" t="n">
        <v>5</v>
      </c>
      <c r="B12" s="12" t="s">
        <v>16</v>
      </c>
      <c r="C12" s="12" t="s">
        <v>17</v>
      </c>
      <c r="D12" s="12" t="n">
        <v>266</v>
      </c>
      <c r="E12" s="7" t="s">
        <v>80</v>
      </c>
      <c r="F12" t="n">
        <v>65</v>
      </c>
      <c r="G12" s="12" t="n">
        <v>59</v>
      </c>
      <c r="H12" s="12" t="s">
        <v>81</v>
      </c>
      <c r="I12" s="2" t="s">
        <v>82</v>
      </c>
      <c r="J12" s="12" t="s">
        <v>83</v>
      </c>
      <c r="K12" s="1" t="s">
        <v>84</v>
      </c>
      <c r="L12" s="2" t="s">
        <v>36</v>
      </c>
      <c r="O12" s="5">
        <f>CONCATENATE(Tabell1[[#This Row],[OSM tag]],";",Tabell1[[#This Row],[tillegg]],";",Tabell1[[#This Row],[fixme]])</f>
        <v/>
      </c>
    </row>
    <row customHeight="1" ht="34" r="13" spans="1:18">
      <c r="A13" s="12" t="n">
        <v>5</v>
      </c>
      <c r="B13" s="12" t="s">
        <v>16</v>
      </c>
      <c r="C13" s="12" t="s">
        <v>17</v>
      </c>
      <c r="D13" s="12" t="n">
        <v>310</v>
      </c>
      <c r="E13" s="12" t="s">
        <v>85</v>
      </c>
      <c r="F13" t="n">
        <v>15</v>
      </c>
      <c r="G13" s="12" t="n">
        <v>1</v>
      </c>
      <c r="H13" s="12" t="s">
        <v>86</v>
      </c>
      <c r="I13" s="2" t="s">
        <v>87</v>
      </c>
      <c r="J13" s="12" t="s">
        <v>88</v>
      </c>
      <c r="K13" s="1" t="s">
        <v>89</v>
      </c>
      <c r="M13" s="12" t="s">
        <v>90</v>
      </c>
      <c r="O13" s="5">
        <f>CONCATENATE(Tabell1[[#This Row],[OSM tag]],";",Tabell1[[#This Row],[tillegg]],";",Tabell1[[#This Row],[fixme]])</f>
        <v/>
      </c>
    </row>
    <row customHeight="1" ht="17" r="14" spans="1:18">
      <c r="A14" s="12" t="n">
        <v>5</v>
      </c>
      <c r="B14" s="12" t="s">
        <v>16</v>
      </c>
      <c r="C14" s="12" t="s">
        <v>91</v>
      </c>
      <c r="D14" s="12" t="n">
        <v>106</v>
      </c>
      <c r="E14" s="12" t="s">
        <v>92</v>
      </c>
      <c r="F14" t="n">
        <v>28</v>
      </c>
      <c r="G14" s="12" t="n">
        <v>19</v>
      </c>
      <c r="H14" s="12" t="s">
        <v>93</v>
      </c>
      <c r="I14" s="2" t="s">
        <v>94</v>
      </c>
      <c r="J14" s="12" t="s">
        <v>95</v>
      </c>
      <c r="K14" s="1" t="s">
        <v>96</v>
      </c>
      <c r="L14" s="5" t="s">
        <v>73</v>
      </c>
      <c r="O14" s="5">
        <f>CONCATENATE(Tabell1[[#This Row],[OSM tag]],";",Tabell1[[#This Row],[tillegg]],";",Tabell1[[#This Row],[fixme]])</f>
        <v/>
      </c>
    </row>
    <row customHeight="1" ht="68" r="15" spans="1:18">
      <c r="A15" s="12" t="n">
        <v>5</v>
      </c>
      <c r="B15" s="12" t="s">
        <v>16</v>
      </c>
      <c r="C15" s="12" t="s">
        <v>91</v>
      </c>
      <c r="D15" s="12" t="n">
        <v>109</v>
      </c>
      <c r="E15" s="7" t="s">
        <v>97</v>
      </c>
      <c r="F15" t="n">
        <v>13109</v>
      </c>
      <c r="G15" s="12" t="n">
        <v>11736</v>
      </c>
      <c r="H15" s="12" t="s">
        <v>98</v>
      </c>
      <c r="I15" s="3" t="s">
        <v>99</v>
      </c>
      <c r="J15" s="12" t="s">
        <v>100</v>
      </c>
      <c r="K15" s="1" t="s">
        <v>101</v>
      </c>
      <c r="L15" s="2" t="s">
        <v>102</v>
      </c>
      <c r="O15" s="5">
        <f>CONCATENATE(Tabell1[[#This Row],[OSM tag]],";",Tabell1[[#This Row],[tillegg]],";",Tabell1[[#This Row],[fixme]])</f>
        <v/>
      </c>
      <c r="P15" s="5" t="s">
        <v>103</v>
      </c>
    </row>
    <row customHeight="1" ht="17" r="16" spans="1:18">
      <c r="A16" s="12" t="n">
        <v>5</v>
      </c>
      <c r="B16" s="12" t="s">
        <v>16</v>
      </c>
      <c r="C16" s="12" t="s">
        <v>91</v>
      </c>
      <c r="D16" s="12" t="n">
        <v>110</v>
      </c>
      <c r="E16" s="12" t="s">
        <v>104</v>
      </c>
      <c r="F16" t="n">
        <v>14616</v>
      </c>
      <c r="G16" s="12" t="n">
        <v>13094</v>
      </c>
      <c r="H16" s="12" t="s">
        <v>105</v>
      </c>
      <c r="I16" s="2" t="s">
        <v>106</v>
      </c>
      <c r="J16" s="12" t="s">
        <v>107</v>
      </c>
      <c r="K16" s="1" t="s">
        <v>108</v>
      </c>
      <c r="L16" s="2" t="s">
        <v>102</v>
      </c>
      <c r="O16" s="5">
        <f>CONCATENATE(Tabell1[[#This Row],[OSM tag]],";",Tabell1[[#This Row],[tillegg]],";",Tabell1[[#This Row],[fixme]])</f>
        <v/>
      </c>
    </row>
    <row customHeight="1" ht="51" r="17" spans="1:18">
      <c r="A17" s="12" t="n">
        <v>8</v>
      </c>
      <c r="B17" s="12" t="s">
        <v>16</v>
      </c>
      <c r="C17" s="12" t="s">
        <v>91</v>
      </c>
      <c r="D17" s="12" t="n">
        <v>206</v>
      </c>
      <c r="E17" s="12" t="s">
        <v>109</v>
      </c>
      <c r="F17" t="n">
        <v>10578</v>
      </c>
      <c r="G17" s="12" t="n">
        <v>6992</v>
      </c>
      <c r="H17" s="12" t="s">
        <v>110</v>
      </c>
      <c r="I17" s="2" t="s">
        <v>111</v>
      </c>
      <c r="J17" s="12" t="s">
        <v>112</v>
      </c>
      <c r="K17" s="1" t="s">
        <v>113</v>
      </c>
      <c r="L17" s="2" t="n"/>
      <c r="M17" s="12" t="s">
        <v>90</v>
      </c>
      <c r="O17" s="5">
        <f>CONCATENATE(Tabell1[[#This Row],[OSM tag]],";",Tabell1[[#This Row],[tillegg]],";",Tabell1[[#This Row],[fixme]])</f>
        <v/>
      </c>
      <c r="P17" s="5" t="s">
        <v>114</v>
      </c>
    </row>
    <row customHeight="1" ht="34" r="18" spans="1:18">
      <c r="A18" s="12" t="n">
        <v>5</v>
      </c>
      <c r="B18" s="12" t="s">
        <v>16</v>
      </c>
      <c r="C18" s="12" t="s">
        <v>91</v>
      </c>
      <c r="D18" s="12" t="n">
        <v>259</v>
      </c>
      <c r="E18" s="12" t="s">
        <v>115</v>
      </c>
      <c r="F18" t="n">
        <v>10</v>
      </c>
      <c r="G18" s="12" t="n">
        <v>3</v>
      </c>
      <c r="H18" s="12" t="s">
        <v>116</v>
      </c>
      <c r="I18" s="2" t="s">
        <v>117</v>
      </c>
      <c r="J18" s="12" t="s">
        <v>118</v>
      </c>
      <c r="K18" s="1" t="s">
        <v>119</v>
      </c>
      <c r="L18" s="5" t="s">
        <v>120</v>
      </c>
      <c r="M18" s="12" t="n"/>
      <c r="O18" s="5">
        <f>CONCATENATE(Tabell1[[#This Row],[OSM tag]],";",Tabell1[[#This Row],[tillegg]],";",Tabell1[[#This Row],[fixme]])</f>
        <v/>
      </c>
    </row>
    <row customHeight="1" ht="17" r="19" spans="1:18">
      <c r="A19" s="12" t="n">
        <v>3</v>
      </c>
      <c r="B19" s="12" t="s">
        <v>16</v>
      </c>
      <c r="C19" s="12" t="s">
        <v>121</v>
      </c>
      <c r="D19" s="12" t="n">
        <v>72</v>
      </c>
      <c r="E19" s="12" t="s">
        <v>122</v>
      </c>
      <c r="F19" t="n">
        <v>154</v>
      </c>
      <c r="G19" s="12" t="n">
        <v>131</v>
      </c>
      <c r="H19" s="12" t="s">
        <v>123</v>
      </c>
      <c r="I19" s="2" t="s">
        <v>124</v>
      </c>
      <c r="J19" s="12" t="s">
        <v>125</v>
      </c>
      <c r="K19" s="1" t="s">
        <v>126</v>
      </c>
      <c r="L19" s="5" t="s">
        <v>127</v>
      </c>
      <c r="O19" s="5">
        <f>CONCATENATE(Tabell1[[#This Row],[OSM tag]],";",Tabell1[[#This Row],[tillegg]],";",Tabell1[[#This Row],[fixme]])</f>
        <v/>
      </c>
    </row>
    <row customHeight="1" ht="34" r="20" spans="1:18">
      <c r="A20" s="12" t="n">
        <v>5</v>
      </c>
      <c r="B20" s="12" t="s">
        <v>16</v>
      </c>
      <c r="C20" s="12" t="s">
        <v>121</v>
      </c>
      <c r="D20" s="12" t="n">
        <v>128</v>
      </c>
      <c r="E20" s="12" t="s">
        <v>128</v>
      </c>
      <c r="F20" t="n">
        <v>117</v>
      </c>
      <c r="G20" s="12" t="n">
        <v>80</v>
      </c>
      <c r="H20" s="12" t="s">
        <v>129</v>
      </c>
      <c r="I20" s="2" t="s">
        <v>130</v>
      </c>
      <c r="J20" s="12" t="s">
        <v>131</v>
      </c>
      <c r="K20" s="1" t="s">
        <v>132</v>
      </c>
      <c r="L20" s="5" t="s">
        <v>133</v>
      </c>
      <c r="O20" s="5">
        <f>CONCATENATE(Tabell1[[#This Row],[OSM tag]],";",Tabell1[[#This Row],[tillegg]],";",Tabell1[[#This Row],[fixme]])</f>
        <v/>
      </c>
    </row>
    <row customHeight="1" ht="17" r="21" spans="1:18">
      <c r="A21" s="12" t="n">
        <v>8</v>
      </c>
      <c r="B21" s="12" t="s">
        <v>16</v>
      </c>
      <c r="C21" s="12" t="s">
        <v>121</v>
      </c>
      <c r="D21" s="12" t="n">
        <v>190</v>
      </c>
      <c r="E21" s="12" t="s">
        <v>134</v>
      </c>
      <c r="F21" t="n">
        <v>697</v>
      </c>
      <c r="G21" s="12" t="n">
        <v>513</v>
      </c>
      <c r="H21" s="12" t="s">
        <v>135</v>
      </c>
      <c r="I21" s="2" t="s">
        <v>136</v>
      </c>
      <c r="J21" s="12" t="s">
        <v>137</v>
      </c>
      <c r="K21" s="1" t="s">
        <v>138</v>
      </c>
      <c r="L21" s="5" t="s">
        <v>139</v>
      </c>
      <c r="O21" s="5">
        <f>CONCATENATE(Tabell1[[#This Row],[OSM tag]],";",Tabell1[[#This Row],[tillegg]],";",Tabell1[[#This Row],[fixme]])</f>
        <v/>
      </c>
    </row>
    <row customHeight="1" ht="34" r="22" spans="1:18">
      <c r="A22" s="12" t="n">
        <v>8</v>
      </c>
      <c r="B22" s="12" t="s">
        <v>16</v>
      </c>
      <c r="C22" s="12" t="s">
        <v>121</v>
      </c>
      <c r="D22" s="12" t="n">
        <v>192</v>
      </c>
      <c r="E22" s="12" t="s">
        <v>140</v>
      </c>
      <c r="F22" t="n">
        <v>31</v>
      </c>
      <c r="G22" s="12" t="n">
        <v>24</v>
      </c>
      <c r="H22" s="12" t="s">
        <v>141</v>
      </c>
      <c r="I22" s="2" t="s">
        <v>142</v>
      </c>
      <c r="J22" s="12" t="s">
        <v>143</v>
      </c>
      <c r="K22" s="1" t="s"/>
      <c r="L22" s="5" t="s">
        <v>144</v>
      </c>
      <c r="N22" s="5" t="s">
        <v>145</v>
      </c>
      <c r="O22" s="5">
        <f>CONCATENATE(Tabell1[[#This Row],[OSM tag]],";",Tabell1[[#This Row],[tillegg]],";",Tabell1[[#This Row],[fixme]])</f>
        <v/>
      </c>
    </row>
    <row customHeight="1" ht="17" r="23" spans="1:18">
      <c r="A23" s="12" t="n">
        <v>8</v>
      </c>
      <c r="B23" s="12" t="s">
        <v>16</v>
      </c>
      <c r="C23" s="12" t="s">
        <v>121</v>
      </c>
      <c r="D23" s="12" t="n">
        <v>194</v>
      </c>
      <c r="E23" s="12" t="s">
        <v>146</v>
      </c>
      <c r="F23" t="n">
        <v>61</v>
      </c>
      <c r="G23" s="12" t="n">
        <v>45</v>
      </c>
      <c r="H23" s="12" t="s">
        <v>147</v>
      </c>
      <c r="I23" s="2" t="s">
        <v>148</v>
      </c>
      <c r="J23" s="12" t="s">
        <v>149</v>
      </c>
      <c r="K23" s="1" t="s">
        <v>150</v>
      </c>
      <c r="L23" s="5" t="s">
        <v>151</v>
      </c>
      <c r="O23" s="5">
        <f>CONCATENATE(Tabell1[[#This Row],[OSM tag]],";",Tabell1[[#This Row],[tillegg]],";",Tabell1[[#This Row],[fixme]])</f>
        <v/>
      </c>
    </row>
    <row customHeight="1" ht="34" r="24" spans="1:18">
      <c r="A24" s="12" t="n">
        <v>8</v>
      </c>
      <c r="B24" s="12" t="s">
        <v>16</v>
      </c>
      <c r="C24" s="12" t="s">
        <v>121</v>
      </c>
      <c r="D24" s="12" t="n">
        <v>222</v>
      </c>
      <c r="E24" s="12" t="s">
        <v>152</v>
      </c>
      <c r="F24" t="n">
        <v>82</v>
      </c>
      <c r="G24" s="12" t="n">
        <v>45</v>
      </c>
      <c r="H24" s="12" t="s">
        <v>153</v>
      </c>
      <c r="I24" s="2" t="s">
        <v>154</v>
      </c>
      <c r="J24" s="12" t="s">
        <v>155</v>
      </c>
      <c r="K24" s="1" t="s">
        <v>156</v>
      </c>
      <c r="L24" s="5" t="s">
        <v>157</v>
      </c>
      <c r="M24" s="12" t="s">
        <v>90</v>
      </c>
      <c r="N24" s="5" t="s">
        <v>158</v>
      </c>
      <c r="O24" s="5">
        <f>CONCATENATE(Tabell1[[#This Row],[OSM tag]],";",Tabell1[[#This Row],[tillegg]],";",Tabell1[[#This Row],[fixme]])</f>
        <v/>
      </c>
    </row>
    <row customHeight="1" ht="17" r="25" spans="1:18">
      <c r="A25" s="12" t="n">
        <v>8</v>
      </c>
      <c r="B25" s="12" t="s">
        <v>16</v>
      </c>
      <c r="C25" s="12" t="s">
        <v>121</v>
      </c>
      <c r="D25" s="12" t="n">
        <v>223</v>
      </c>
      <c r="E25" s="12" t="s">
        <v>159</v>
      </c>
      <c r="F25" t="n">
        <v>11</v>
      </c>
      <c r="G25" s="12" t="n">
        <v>12</v>
      </c>
      <c r="H25" s="12" t="s">
        <v>160</v>
      </c>
      <c r="I25" s="2" t="s">
        <v>161</v>
      </c>
      <c r="J25" s="12" t="s">
        <v>162</v>
      </c>
      <c r="K25" s="1" t="s"/>
      <c r="L25" s="5" t="s">
        <v>163</v>
      </c>
      <c r="M25" s="12" t="n"/>
      <c r="O25" s="5">
        <f>CONCATENATE(Tabell1[[#This Row],[OSM tag]],";",Tabell1[[#This Row],[tillegg]],";",Tabell1[[#This Row],[fixme]])</f>
        <v/>
      </c>
    </row>
    <row customHeight="1" ht="34" r="26" spans="1:18">
      <c r="A26" s="12" t="n">
        <v>5</v>
      </c>
      <c r="B26" s="12" t="s">
        <v>16</v>
      </c>
      <c r="C26" s="12" t="s">
        <v>164</v>
      </c>
      <c r="D26" s="12" t="n">
        <v>108</v>
      </c>
      <c r="E26" s="12" t="s">
        <v>165</v>
      </c>
      <c r="F26" t="n">
        <v>105969</v>
      </c>
      <c r="G26" s="12" t="n">
        <v>117578</v>
      </c>
      <c r="H26" s="12" t="s">
        <v>166</v>
      </c>
      <c r="I26" s="2" t="s">
        <v>167</v>
      </c>
      <c r="J26" s="12" t="s">
        <v>168</v>
      </c>
      <c r="K26" s="1" t="s">
        <v>169</v>
      </c>
      <c r="L26" s="5" t="s">
        <v>170</v>
      </c>
      <c r="O26" s="5">
        <f>CONCATENATE(Tabell1[[#This Row],[OSM tag]],";",Tabell1[[#This Row],[tillegg]],";",Tabell1[[#This Row],[fixme]])</f>
        <v/>
      </c>
      <c r="P26" s="5" t="s">
        <v>171</v>
      </c>
    </row>
    <row customHeight="1" ht="34" r="27" spans="1:18">
      <c r="A27" s="12" t="n">
        <v>5</v>
      </c>
      <c r="B27" s="12" t="s">
        <v>16</v>
      </c>
      <c r="C27" s="12" t="s">
        <v>164</v>
      </c>
      <c r="D27" s="12" t="n">
        <v>111</v>
      </c>
      <c r="E27" s="12" t="s">
        <v>172</v>
      </c>
      <c r="F27" t="n">
        <v>21357</v>
      </c>
      <c r="G27" s="12" t="n">
        <v>18129</v>
      </c>
      <c r="H27" s="12" t="s">
        <v>173</v>
      </c>
      <c r="I27" s="2" t="s">
        <v>174</v>
      </c>
      <c r="J27" s="12" t="s">
        <v>175</v>
      </c>
      <c r="K27" s="1" t="s">
        <v>176</v>
      </c>
      <c r="L27" s="5" t="s">
        <v>177</v>
      </c>
      <c r="M27" s="12" t="s">
        <v>90</v>
      </c>
      <c r="O27" s="5">
        <f>CONCATENATE(Tabell1[[#This Row],[OSM tag]],";",Tabell1[[#This Row],[tillegg]],";",Tabell1[[#This Row],[fixme]])</f>
        <v/>
      </c>
      <c r="P27" s="5" t="s">
        <v>178</v>
      </c>
    </row>
    <row customHeight="1" ht="17" r="28" spans="1:18">
      <c r="A28" s="12" t="n">
        <v>5</v>
      </c>
      <c r="B28" s="12" t="s">
        <v>16</v>
      </c>
      <c r="C28" s="12" t="s">
        <v>164</v>
      </c>
      <c r="D28" s="12" t="n">
        <v>112</v>
      </c>
      <c r="E28" s="12" t="s">
        <v>179</v>
      </c>
      <c r="F28" t="n">
        <v>4754</v>
      </c>
      <c r="G28" s="12" t="n">
        <v>3963</v>
      </c>
      <c r="H28" s="12" t="s">
        <v>180</v>
      </c>
      <c r="I28" s="2" t="s">
        <v>181</v>
      </c>
      <c r="J28" s="12" t="s">
        <v>182</v>
      </c>
      <c r="K28" s="1" t="s">
        <v>183</v>
      </c>
      <c r="M28" s="12" t="s">
        <v>90</v>
      </c>
      <c r="O28" s="5">
        <f>CONCATENATE(Tabell1[[#This Row],[OSM tag]],";",Tabell1[[#This Row],[tillegg]],";",Tabell1[[#This Row],[fixme]])</f>
        <v/>
      </c>
    </row>
    <row customHeight="1" ht="34" r="29" spans="1:18">
      <c r="A29" s="12" t="n">
        <v>5</v>
      </c>
      <c r="B29" s="12" t="s">
        <v>16</v>
      </c>
      <c r="C29" s="12" t="s">
        <v>164</v>
      </c>
      <c r="D29" s="12" t="n">
        <v>170</v>
      </c>
      <c r="E29" s="12" t="s">
        <v>184</v>
      </c>
      <c r="F29" t="n">
        <v>3557</v>
      </c>
      <c r="G29" s="12" t="n">
        <v>2651</v>
      </c>
      <c r="H29" s="12" t="s">
        <v>185</v>
      </c>
      <c r="I29" s="2" t="s">
        <v>186</v>
      </c>
      <c r="J29" s="12" t="s">
        <v>187</v>
      </c>
      <c r="K29" s="1" t="s">
        <v>188</v>
      </c>
      <c r="M29" s="5" t="s">
        <v>90</v>
      </c>
      <c r="O29" s="5">
        <f>CONCATENATE(Tabell1[[#This Row],[OSM tag]],";",Tabell1[[#This Row],[tillegg]],";",Tabell1[[#This Row],[fixme]])</f>
        <v/>
      </c>
    </row>
    <row customHeight="1" ht="34" r="30" spans="1:18">
      <c r="A30" s="12" t="n">
        <v>8</v>
      </c>
      <c r="B30" s="12" t="s">
        <v>16</v>
      </c>
      <c r="C30" s="12" t="s">
        <v>164</v>
      </c>
      <c r="D30" s="12" t="n">
        <v>233</v>
      </c>
      <c r="E30" s="12" t="s">
        <v>189</v>
      </c>
      <c r="F30" t="n">
        <v>128</v>
      </c>
      <c r="G30" s="12" t="n">
        <v>80</v>
      </c>
      <c r="H30" s="12" t="s">
        <v>190</v>
      </c>
      <c r="I30" s="2" t="s">
        <v>191</v>
      </c>
      <c r="J30" s="12" t="s">
        <v>192</v>
      </c>
      <c r="K30" s="1" t="s">
        <v>193</v>
      </c>
      <c r="L30" s="5" t="s">
        <v>194</v>
      </c>
      <c r="O30" s="5">
        <f>CONCATENATE(Tabell1[[#This Row],[OSM tag]],";",Tabell1[[#This Row],[tillegg]],";",Tabell1[[#This Row],[fixme]])</f>
        <v/>
      </c>
    </row>
    <row customHeight="1" ht="34" r="31" spans="1:18">
      <c r="A31" s="12" t="n">
        <v>5</v>
      </c>
      <c r="B31" s="12" t="s">
        <v>16</v>
      </c>
      <c r="C31" s="12" t="s">
        <v>164</v>
      </c>
      <c r="D31" s="12" t="n">
        <v>280</v>
      </c>
      <c r="E31" s="12" t="s">
        <v>195</v>
      </c>
      <c r="F31" t="n">
        <v>32689</v>
      </c>
      <c r="G31" s="12" t="n">
        <v>3119</v>
      </c>
      <c r="H31" s="12" t="s">
        <v>196</v>
      </c>
      <c r="I31" s="13" t="s">
        <v>197</v>
      </c>
      <c r="J31" s="12" t="s">
        <v>198</v>
      </c>
      <c r="K31" s="1" t="s">
        <v>199</v>
      </c>
      <c r="L31" s="5" t="s">
        <v>170</v>
      </c>
      <c r="N31" s="5" t="s">
        <v>44</v>
      </c>
      <c r="O31" s="5">
        <f>CONCATENATE(Tabell1[[#This Row],[OSM tag]],";",Tabell1[[#This Row],[tillegg]],";",Tabell1[[#This Row],[fixme]])</f>
        <v/>
      </c>
      <c r="P31" s="5" t="s">
        <v>200</v>
      </c>
    </row>
    <row customHeight="1" ht="51" r="32" spans="1:18">
      <c r="A32" s="12" t="n">
        <v>5</v>
      </c>
      <c r="B32" s="12" t="s">
        <v>16</v>
      </c>
      <c r="C32" s="12" t="s">
        <v>164</v>
      </c>
      <c r="D32" s="12" t="n">
        <v>305</v>
      </c>
      <c r="E32" s="12" t="s">
        <v>201</v>
      </c>
      <c r="F32" t="n">
        <v>2372</v>
      </c>
      <c r="G32" s="12" t="n">
        <v>97</v>
      </c>
      <c r="H32" s="12" t="s">
        <v>202</v>
      </c>
      <c r="I32" s="2" t="s">
        <v>203</v>
      </c>
      <c r="J32" s="12" t="s">
        <v>204</v>
      </c>
      <c r="K32" s="1" t="s">
        <v>205</v>
      </c>
      <c r="L32" s="5" t="s">
        <v>51</v>
      </c>
      <c r="O32" s="5">
        <f>CONCATENATE(Tabell1[[#This Row],[OSM tag]],";",Tabell1[[#This Row],[tillegg]],";",Tabell1[[#This Row],[fixme]])</f>
        <v/>
      </c>
      <c r="P32" s="5" t="s">
        <v>206</v>
      </c>
    </row>
    <row customHeight="1" ht="17" r="33" spans="1:18">
      <c r="A33" s="12" t="n">
        <v>5</v>
      </c>
      <c r="B33" s="12" t="s">
        <v>16</v>
      </c>
      <c r="C33" s="12" t="s">
        <v>207</v>
      </c>
      <c r="D33" s="12" t="n">
        <v>120</v>
      </c>
      <c r="E33" s="12" t="s">
        <v>208</v>
      </c>
      <c r="F33" t="n">
        <v>2181</v>
      </c>
      <c r="G33" s="12" t="n">
        <v>1732</v>
      </c>
      <c r="H33" s="12" t="s">
        <v>209</v>
      </c>
      <c r="I33" s="2" t="s">
        <v>210</v>
      </c>
      <c r="J33" s="12" t="s">
        <v>211</v>
      </c>
      <c r="K33" s="1" t="s">
        <v>212</v>
      </c>
      <c r="L33" s="5" t="s">
        <v>213</v>
      </c>
      <c r="O33" s="5">
        <f>CONCATENATE(Tabell1[[#This Row],[OSM tag]],";",Tabell1[[#This Row],[tillegg]],";",Tabell1[[#This Row],[fixme]])</f>
        <v/>
      </c>
    </row>
    <row customHeight="1" ht="17" r="34" spans="1:18">
      <c r="A34" s="12" t="n">
        <v>5</v>
      </c>
      <c r="B34" s="12" t="s">
        <v>16</v>
      </c>
      <c r="C34" s="12" t="s">
        <v>207</v>
      </c>
      <c r="D34" s="12" t="n">
        <v>121</v>
      </c>
      <c r="E34" s="12" t="s">
        <v>214</v>
      </c>
      <c r="F34" t="n">
        <v>94</v>
      </c>
      <c r="G34" s="12" t="n">
        <v>88</v>
      </c>
      <c r="H34" s="12" t="s">
        <v>215</v>
      </c>
      <c r="I34" s="2" t="s">
        <v>216</v>
      </c>
      <c r="J34" s="12" t="s">
        <v>217</v>
      </c>
      <c r="K34" s="1" t="s">
        <v>218</v>
      </c>
      <c r="L34" s="5" t="s">
        <v>219</v>
      </c>
      <c r="O34" s="5">
        <f>CONCATENATE(Tabell1[[#This Row],[OSM tag]],";",Tabell1[[#This Row],[tillegg]],";",Tabell1[[#This Row],[fixme]])</f>
        <v/>
      </c>
    </row>
    <row customHeight="1" ht="17" r="35" spans="1:18">
      <c r="A35" s="12" t="n">
        <v>5</v>
      </c>
      <c r="B35" s="12" t="s">
        <v>16</v>
      </c>
      <c r="C35" s="12" t="s">
        <v>207</v>
      </c>
      <c r="D35" s="12" t="n">
        <v>122</v>
      </c>
      <c r="E35" s="12" t="s">
        <v>220</v>
      </c>
      <c r="F35" t="n">
        <v>440</v>
      </c>
      <c r="G35" s="12" t="n">
        <v>342</v>
      </c>
      <c r="H35" s="12" t="s">
        <v>221</v>
      </c>
      <c r="I35" s="2" t="s">
        <v>222</v>
      </c>
      <c r="J35" s="12" t="s">
        <v>223</v>
      </c>
      <c r="K35" s="1" t="s">
        <v>224</v>
      </c>
      <c r="L35" s="5" t="s">
        <v>225</v>
      </c>
      <c r="O35" s="5">
        <f>CONCATENATE(Tabell1[[#This Row],[OSM tag]],";",Tabell1[[#This Row],[tillegg]],";",Tabell1[[#This Row],[fixme]])</f>
        <v/>
      </c>
    </row>
    <row customHeight="1" ht="34" r="36" spans="1:18">
      <c r="A36" s="12" t="n">
        <v>5</v>
      </c>
      <c r="B36" s="12" t="s">
        <v>16</v>
      </c>
      <c r="C36" s="12" t="s">
        <v>207</v>
      </c>
      <c r="D36" s="12" t="n">
        <v>126</v>
      </c>
      <c r="E36" s="7" t="s">
        <v>226</v>
      </c>
      <c r="F36" t="n">
        <v>58</v>
      </c>
      <c r="G36" s="12" t="n">
        <v>55</v>
      </c>
      <c r="H36" s="12" t="s">
        <v>227</v>
      </c>
      <c r="I36" s="2" t="s">
        <v>228</v>
      </c>
      <c r="J36" s="12" t="s">
        <v>229</v>
      </c>
      <c r="K36" s="1" t="s">
        <v>230</v>
      </c>
      <c r="L36" s="5" t="s">
        <v>231</v>
      </c>
      <c r="O36" s="5">
        <f>CONCATENATE(Tabell1[[#This Row],[OSM tag]],";",Tabell1[[#This Row],[tillegg]],";",Tabell1[[#This Row],[fixme]])</f>
        <v/>
      </c>
    </row>
    <row customHeight="1" ht="17" r="37" spans="1:18">
      <c r="A37" s="12" t="n">
        <v>5</v>
      </c>
      <c r="B37" s="12" t="s">
        <v>16</v>
      </c>
      <c r="C37" s="12" t="s">
        <v>207</v>
      </c>
      <c r="D37" s="12" t="n">
        <v>127</v>
      </c>
      <c r="E37" s="12" t="s">
        <v>232</v>
      </c>
      <c r="F37" t="n">
        <v>80</v>
      </c>
      <c r="G37" s="12" t="n">
        <v>67</v>
      </c>
      <c r="H37" s="12" t="s">
        <v>233</v>
      </c>
      <c r="I37" s="2" t="s">
        <v>234</v>
      </c>
      <c r="J37" s="12" t="s">
        <v>235</v>
      </c>
      <c r="K37" s="1" t="s">
        <v>236</v>
      </c>
      <c r="L37" s="5" t="s">
        <v>237</v>
      </c>
      <c r="O37" s="5">
        <f>CONCATENATE(Tabell1[[#This Row],[OSM tag]],";",Tabell1[[#This Row],[tillegg]],";",Tabell1[[#This Row],[fixme]])</f>
        <v/>
      </c>
    </row>
    <row customHeight="1" ht="17" r="38" spans="1:18">
      <c r="A38" s="12" t="n">
        <v>5</v>
      </c>
      <c r="B38" s="12" t="s">
        <v>16</v>
      </c>
      <c r="C38" s="12" t="s">
        <v>207</v>
      </c>
      <c r="D38" s="12" t="n">
        <v>229</v>
      </c>
      <c r="E38" s="12" t="s">
        <v>238</v>
      </c>
      <c r="F38" t="n">
        <v>109</v>
      </c>
      <c r="G38" s="12" t="n">
        <v>251</v>
      </c>
      <c r="H38" s="12" t="s">
        <v>239</v>
      </c>
      <c r="I38" s="2" t="s">
        <v>240</v>
      </c>
      <c r="J38" s="12" t="s">
        <v>241</v>
      </c>
      <c r="K38" s="1" t="s">
        <v>242</v>
      </c>
      <c r="L38" s="5" t="s">
        <v>243</v>
      </c>
      <c r="O38" s="5">
        <f>CONCATENATE(Tabell1[[#This Row],[OSM tag]],";",Tabell1[[#This Row],[tillegg]],";",Tabell1[[#This Row],[fixme]])</f>
        <v/>
      </c>
    </row>
    <row customHeight="1" ht="34" r="39" spans="1:18">
      <c r="A39" s="12" t="n">
        <v>5</v>
      </c>
      <c r="B39" s="12" t="s">
        <v>16</v>
      </c>
      <c r="C39" s="12" t="s">
        <v>207</v>
      </c>
      <c r="D39" s="12" t="n">
        <v>237</v>
      </c>
      <c r="E39" s="12" t="s">
        <v>244</v>
      </c>
      <c r="F39" t="n">
        <v>81</v>
      </c>
      <c r="G39" s="12" t="n">
        <v>65</v>
      </c>
      <c r="H39" s="12" t="s">
        <v>245</v>
      </c>
      <c r="I39" s="3" t="s">
        <v>246</v>
      </c>
      <c r="J39" s="12" t="s">
        <v>247</v>
      </c>
      <c r="K39" s="1" t="s">
        <v>248</v>
      </c>
      <c r="L39" s="5" t="s">
        <v>249</v>
      </c>
      <c r="O39" s="5">
        <f>CONCATENATE(Tabell1[[#This Row],[OSM tag]],";",Tabell1[[#This Row],[tillegg]],";",Tabell1[[#This Row],[fixme]])</f>
        <v/>
      </c>
    </row>
    <row customHeight="1" ht="17" r="40" spans="1:18">
      <c r="A40" s="12" t="n">
        <v>5</v>
      </c>
      <c r="B40" s="12" t="s">
        <v>16</v>
      </c>
      <c r="C40" s="12" t="s">
        <v>207</v>
      </c>
      <c r="D40" s="12" t="n">
        <v>248</v>
      </c>
      <c r="E40" s="7" t="s">
        <v>250</v>
      </c>
      <c r="F40" t="n">
        <v>47</v>
      </c>
      <c r="G40" s="12" t="n">
        <v>28</v>
      </c>
      <c r="H40" s="12" t="s">
        <v>251</v>
      </c>
      <c r="I40" s="2" t="s">
        <v>252</v>
      </c>
      <c r="J40" s="12" t="s">
        <v>253</v>
      </c>
      <c r="K40" s="1" t="s">
        <v>254</v>
      </c>
      <c r="L40" s="5" t="s">
        <v>255</v>
      </c>
      <c r="O40" s="5">
        <f>CONCATENATE(Tabell1[[#This Row],[OSM tag]],";",Tabell1[[#This Row],[tillegg]],";",Tabell1[[#This Row],[fixme]])</f>
        <v/>
      </c>
    </row>
    <row customHeight="1" ht="17" r="41" spans="1:18">
      <c r="A41" s="12" t="n">
        <v>5</v>
      </c>
      <c r="B41" s="12" t="s">
        <v>16</v>
      </c>
      <c r="C41" s="12" t="s">
        <v>207</v>
      </c>
      <c r="D41" s="12" t="n">
        <v>250</v>
      </c>
      <c r="E41" s="7" t="s">
        <v>256</v>
      </c>
      <c r="F41" t="n">
        <v>15</v>
      </c>
      <c r="G41" s="12" t="n">
        <v>14</v>
      </c>
      <c r="H41" s="12" t="s">
        <v>257</v>
      </c>
      <c r="I41" s="2" t="s">
        <v>258</v>
      </c>
      <c r="J41" s="12" t="s">
        <v>259</v>
      </c>
      <c r="K41" s="1" t="s"/>
      <c r="L41" s="5" t="s">
        <v>260</v>
      </c>
      <c r="M41" s="12" t="n"/>
      <c r="O41" s="5">
        <f>CONCATENATE(Tabell1[[#This Row],[OSM tag]],";",Tabell1[[#This Row],[tillegg]],";",Tabell1[[#This Row],[fixme]])</f>
        <v/>
      </c>
    </row>
    <row customHeight="1" ht="34" r="42" spans="1:18">
      <c r="A42" s="12" t="n">
        <v>5</v>
      </c>
      <c r="B42" s="12" t="s">
        <v>16</v>
      </c>
      <c r="C42" s="12" t="s">
        <v>207</v>
      </c>
      <c r="D42" s="12" t="n">
        <v>309</v>
      </c>
      <c r="E42" s="7" t="s">
        <v>261</v>
      </c>
      <c r="G42" s="12" t="n">
        <v>1</v>
      </c>
      <c r="H42" s="12" t="s">
        <v>262</v>
      </c>
      <c r="I42" s="2" t="s">
        <v>263</v>
      </c>
      <c r="J42" s="12" t="s">
        <v>264</v>
      </c>
      <c r="K42" s="5" t="n"/>
      <c r="L42" s="5" t="s">
        <v>265</v>
      </c>
      <c r="O42" s="5">
        <f>CONCATENATE(Tabell1[[#This Row],[OSM tag]],";",Tabell1[[#This Row],[tillegg]],";",Tabell1[[#This Row],[fixme]])</f>
        <v/>
      </c>
    </row>
    <row customHeight="1" ht="17" r="43" spans="1:18">
      <c r="A43" s="12" t="n">
        <v>5</v>
      </c>
      <c r="B43" s="12" t="s">
        <v>16</v>
      </c>
      <c r="C43" s="12" t="s">
        <v>266</v>
      </c>
      <c r="D43" s="12" t="n">
        <v>113</v>
      </c>
      <c r="E43" s="7" t="s">
        <v>267</v>
      </c>
      <c r="F43" t="n">
        <v>434</v>
      </c>
      <c r="G43" s="12" t="n">
        <v>367</v>
      </c>
      <c r="H43" s="12" t="s">
        <v>268</v>
      </c>
      <c r="I43" s="2" t="s">
        <v>269</v>
      </c>
      <c r="J43" s="12" t="s">
        <v>270</v>
      </c>
      <c r="K43" s="1" t="s">
        <v>271</v>
      </c>
      <c r="L43" s="5" t="s">
        <v>272</v>
      </c>
      <c r="O43" s="5">
        <f>CONCATENATE(Tabell1[[#This Row],[OSM tag]],";",Tabell1[[#This Row],[tillegg]],";",Tabell1[[#This Row],[fixme]])</f>
        <v/>
      </c>
    </row>
    <row customHeight="1" ht="17" r="44" spans="1:18">
      <c r="A44" s="12" t="n">
        <v>5</v>
      </c>
      <c r="B44" s="12" t="s">
        <v>16</v>
      </c>
      <c r="C44" s="12" t="s">
        <v>266</v>
      </c>
      <c r="D44" s="12" t="n">
        <v>115</v>
      </c>
      <c r="E44" s="12" t="s">
        <v>273</v>
      </c>
      <c r="F44" t="n">
        <v>357</v>
      </c>
      <c r="G44" s="12" t="n">
        <v>271</v>
      </c>
      <c r="H44" s="12" t="s">
        <v>274</v>
      </c>
      <c r="I44" s="2" t="s">
        <v>275</v>
      </c>
      <c r="J44" s="12" t="s">
        <v>276</v>
      </c>
      <c r="K44" s="1" t="s">
        <v>277</v>
      </c>
      <c r="L44" s="5" t="s">
        <v>278</v>
      </c>
      <c r="O44" s="5">
        <f>CONCATENATE(Tabell1[[#This Row],[OSM tag]],";",Tabell1[[#This Row],[tillegg]],";",Tabell1[[#This Row],[fixme]])</f>
        <v/>
      </c>
    </row>
    <row customHeight="1" ht="17" r="45" spans="1:18">
      <c r="A45" s="12" t="n">
        <v>5</v>
      </c>
      <c r="B45" s="12" t="s">
        <v>16</v>
      </c>
      <c r="C45" s="12" t="s">
        <v>266</v>
      </c>
      <c r="D45" s="12" t="n">
        <v>116</v>
      </c>
      <c r="E45" s="12" t="s">
        <v>279</v>
      </c>
      <c r="F45" t="n">
        <v>270</v>
      </c>
      <c r="G45" s="12" t="n">
        <v>198</v>
      </c>
      <c r="H45" s="12" t="s">
        <v>280</v>
      </c>
      <c r="I45" s="2" t="s">
        <v>281</v>
      </c>
      <c r="J45" s="12" t="s">
        <v>282</v>
      </c>
      <c r="K45" s="1" t="s">
        <v>283</v>
      </c>
      <c r="L45" s="5" t="s">
        <v>284</v>
      </c>
      <c r="O45" s="5">
        <f>CONCATENATE(Tabell1[[#This Row],[OSM tag]],";",Tabell1[[#This Row],[tillegg]],";",Tabell1[[#This Row],[fixme]])</f>
        <v/>
      </c>
    </row>
    <row customHeight="1" ht="17" r="46" spans="1:18">
      <c r="A46" s="12" t="n">
        <v>5</v>
      </c>
      <c r="B46" s="12" t="s">
        <v>16</v>
      </c>
      <c r="C46" s="12" t="s">
        <v>266</v>
      </c>
      <c r="D46" s="12" t="n">
        <v>117</v>
      </c>
      <c r="E46" s="12" t="s">
        <v>285</v>
      </c>
      <c r="F46" t="n">
        <v>300</v>
      </c>
      <c r="G46" s="12" t="n">
        <v>302</v>
      </c>
      <c r="H46" s="12" t="s">
        <v>286</v>
      </c>
      <c r="I46" s="2" t="s">
        <v>287</v>
      </c>
      <c r="J46" s="12" t="s">
        <v>288</v>
      </c>
      <c r="K46" s="1" t="s">
        <v>289</v>
      </c>
      <c r="L46" s="5" t="s">
        <v>290</v>
      </c>
      <c r="O46" s="5">
        <f>CONCATENATE(Tabell1[[#This Row],[OSM tag]],";",Tabell1[[#This Row],[tillegg]],";",Tabell1[[#This Row],[fixme]])</f>
        <v/>
      </c>
    </row>
    <row customHeight="1" ht="17" r="47" spans="1:18">
      <c r="A47" s="12" t="n">
        <v>5</v>
      </c>
      <c r="B47" s="12" t="s">
        <v>16</v>
      </c>
      <c r="C47" s="12" t="s">
        <v>266</v>
      </c>
      <c r="D47" s="12" t="n">
        <v>118</v>
      </c>
      <c r="E47" s="7" t="s">
        <v>291</v>
      </c>
      <c r="F47" t="n">
        <v>112</v>
      </c>
      <c r="G47" s="12" t="n">
        <v>99</v>
      </c>
      <c r="H47" s="12" t="s">
        <v>292</v>
      </c>
      <c r="I47" s="2" t="s">
        <v>293</v>
      </c>
      <c r="J47" s="12" t="s">
        <v>294</v>
      </c>
      <c r="K47" s="1" t="s">
        <v>295</v>
      </c>
      <c r="L47" s="5" t="s">
        <v>296</v>
      </c>
      <c r="O47" s="5">
        <f>CONCATENATE(Tabell1[[#This Row],[OSM tag]],";",Tabell1[[#This Row],[tillegg]],";",Tabell1[[#This Row],[fixme]])</f>
        <v/>
      </c>
    </row>
    <row customHeight="1" ht="34" r="48" spans="1:18">
      <c r="A48" s="12" t="n">
        <v>5</v>
      </c>
      <c r="B48" s="12" t="s">
        <v>16</v>
      </c>
      <c r="C48" s="12" t="s">
        <v>266</v>
      </c>
      <c r="D48" s="12" t="n">
        <v>119</v>
      </c>
      <c r="E48" s="7" t="s">
        <v>297</v>
      </c>
      <c r="F48" t="n">
        <v>976</v>
      </c>
      <c r="G48" s="12" t="n">
        <v>784</v>
      </c>
      <c r="H48" s="12" t="s">
        <v>298</v>
      </c>
      <c r="I48" s="2" t="s">
        <v>299</v>
      </c>
      <c r="J48" s="12" t="s">
        <v>300</v>
      </c>
      <c r="K48" s="1" t="s">
        <v>301</v>
      </c>
      <c r="L48" s="5" t="s">
        <v>302</v>
      </c>
      <c r="N48" s="5" t="s">
        <v>303</v>
      </c>
      <c r="O48" s="5">
        <f>CONCATENATE(Tabell1[[#This Row],[OSM tag]],";",Tabell1[[#This Row],[tillegg]],";",Tabell1[[#This Row],[fixme]])</f>
        <v/>
      </c>
    </row>
    <row customHeight="1" ht="17" r="49" spans="1:18">
      <c r="A49" s="12" t="n">
        <v>5</v>
      </c>
      <c r="B49" s="12" t="s">
        <v>16</v>
      </c>
      <c r="C49" s="12" t="s">
        <v>266</v>
      </c>
      <c r="D49" s="12" t="n">
        <v>191</v>
      </c>
      <c r="E49" s="12" t="s">
        <v>304</v>
      </c>
      <c r="F49" t="n">
        <v>188</v>
      </c>
      <c r="G49" s="12" t="n">
        <v>152</v>
      </c>
      <c r="H49" s="12" t="s">
        <v>305</v>
      </c>
      <c r="I49" s="2" t="s">
        <v>306</v>
      </c>
      <c r="J49" s="12" t="s">
        <v>307</v>
      </c>
      <c r="K49" s="1" t="s">
        <v>308</v>
      </c>
      <c r="L49" s="5" t="s">
        <v>309</v>
      </c>
      <c r="O49" s="5">
        <f>CONCATENATE(Tabell1[[#This Row],[OSM tag]],";",Tabell1[[#This Row],[tillegg]],";",Tabell1[[#This Row],[fixme]])</f>
        <v/>
      </c>
    </row>
    <row customHeight="1" ht="34" r="50" spans="1:18">
      <c r="A50" s="12" t="n">
        <v>8</v>
      </c>
      <c r="B50" s="12" t="s">
        <v>16</v>
      </c>
      <c r="C50" s="12" t="s">
        <v>266</v>
      </c>
      <c r="D50" s="12" t="n">
        <v>205</v>
      </c>
      <c r="E50" s="12" t="s">
        <v>310</v>
      </c>
      <c r="F50" t="n">
        <v>7</v>
      </c>
      <c r="G50" s="12" t="n">
        <v>4</v>
      </c>
      <c r="H50" s="12" t="s">
        <v>311</v>
      </c>
      <c r="I50" s="2" t="s">
        <v>312</v>
      </c>
      <c r="J50" s="12" t="s">
        <v>313</v>
      </c>
      <c r="K50" s="1" t="s">
        <v>314</v>
      </c>
      <c r="L50" s="5" t="s">
        <v>315</v>
      </c>
      <c r="O50" s="5">
        <f>CONCATENATE(Tabell1[[#This Row],[OSM tag]],";",Tabell1[[#This Row],[tillegg]],";",Tabell1[[#This Row],[fixme]])</f>
        <v/>
      </c>
    </row>
    <row customHeight="1" ht="17" r="51" spans="1:18">
      <c r="A51" s="12" t="n">
        <v>5</v>
      </c>
      <c r="B51" s="12" t="s">
        <v>16</v>
      </c>
      <c r="C51" s="12" t="s">
        <v>266</v>
      </c>
      <c r="D51" s="12" t="n">
        <v>267</v>
      </c>
      <c r="E51" s="12" t="s">
        <v>316</v>
      </c>
      <c r="F51" t="n">
        <v>57</v>
      </c>
      <c r="G51" s="12" t="n">
        <v>29</v>
      </c>
      <c r="H51" s="12" t="s">
        <v>317</v>
      </c>
      <c r="I51" s="2" t="s">
        <v>318</v>
      </c>
      <c r="J51" s="12" t="s">
        <v>319</v>
      </c>
      <c r="K51" s="1" t="s">
        <v>320</v>
      </c>
      <c r="L51" s="5" t="s">
        <v>321</v>
      </c>
      <c r="O51" s="5">
        <f>CONCATENATE(Tabell1[[#This Row],[OSM tag]],";",Tabell1[[#This Row],[tillegg]],";",Tabell1[[#This Row],[fixme]])</f>
        <v/>
      </c>
    </row>
    <row customHeight="1" ht="17" r="52" spans="1:18">
      <c r="A52" s="12" t="n">
        <v>2</v>
      </c>
      <c r="B52" s="12" t="s">
        <v>322</v>
      </c>
      <c r="C52" s="12" t="s">
        <v>323</v>
      </c>
      <c r="D52" s="12" t="n">
        <v>56</v>
      </c>
      <c r="E52" s="12" t="s">
        <v>324</v>
      </c>
      <c r="F52" t="n">
        <v>568</v>
      </c>
      <c r="G52" s="12" t="n">
        <v>463</v>
      </c>
      <c r="H52" s="12" t="s">
        <v>325</v>
      </c>
      <c r="I52" s="2" t="s">
        <v>326</v>
      </c>
      <c r="J52" s="12" t="s">
        <v>327</v>
      </c>
      <c r="K52" s="1" t="s">
        <v>328</v>
      </c>
      <c r="M52" s="12" t="s">
        <v>90</v>
      </c>
      <c r="O52" s="5">
        <f>CONCATENATE(Tabell1[[#This Row],[OSM tag]],";",Tabell1[[#This Row],[tillegg]],";",Tabell1[[#This Row],[fixme]])</f>
        <v/>
      </c>
    </row>
    <row customHeight="1" ht="17" r="53" spans="1:18">
      <c r="A53" s="12" t="n">
        <v>2</v>
      </c>
      <c r="B53" s="12" t="s">
        <v>322</v>
      </c>
      <c r="C53" s="12" t="s">
        <v>329</v>
      </c>
      <c r="D53" s="12" t="n">
        <v>34</v>
      </c>
      <c r="E53" s="12" t="s">
        <v>330</v>
      </c>
      <c r="F53" t="n">
        <v>1086</v>
      </c>
      <c r="G53" s="12" t="n">
        <v>1042</v>
      </c>
      <c r="H53" s="12" t="s">
        <v>331</v>
      </c>
      <c r="I53" s="2" t="s">
        <v>332</v>
      </c>
      <c r="J53" s="12" t="s">
        <v>333</v>
      </c>
      <c r="K53" s="1" t="s">
        <v>334</v>
      </c>
      <c r="L53" s="5" t="s">
        <v>335</v>
      </c>
      <c r="O53" s="5">
        <f>CONCATENATE(Tabell1[[#This Row],[OSM tag]],";",Tabell1[[#This Row],[tillegg]],";",Tabell1[[#This Row],[fixme]])</f>
        <v/>
      </c>
    </row>
    <row customHeight="1" ht="17" r="54" spans="1:18">
      <c r="A54" s="12" t="n">
        <v>2</v>
      </c>
      <c r="B54" s="12" t="s">
        <v>322</v>
      </c>
      <c r="C54" s="12" t="s">
        <v>329</v>
      </c>
      <c r="D54" s="12" t="n">
        <v>35</v>
      </c>
      <c r="E54" s="7" t="s">
        <v>336</v>
      </c>
      <c r="F54" t="n">
        <v>7485</v>
      </c>
      <c r="G54" s="12" t="n">
        <v>7211</v>
      </c>
      <c r="H54" s="12" t="s">
        <v>337</v>
      </c>
      <c r="I54" s="2" t="s">
        <v>338</v>
      </c>
      <c r="J54" s="12" t="s">
        <v>339</v>
      </c>
      <c r="K54" s="1" t="s">
        <v>340</v>
      </c>
      <c r="L54" s="5" t="s">
        <v>341</v>
      </c>
      <c r="O54" s="5">
        <f>CONCATENATE(Tabell1[[#This Row],[OSM tag]],";",Tabell1[[#This Row],[tillegg]],";",Tabell1[[#This Row],[fixme]])</f>
        <v/>
      </c>
    </row>
    <row customHeight="1" ht="17" r="55" spans="1:18">
      <c r="A55" s="12" t="n">
        <v>2</v>
      </c>
      <c r="B55" s="12" t="s">
        <v>322</v>
      </c>
      <c r="C55" s="12" t="s">
        <v>329</v>
      </c>
      <c r="D55" s="12" t="n">
        <v>44</v>
      </c>
      <c r="E55" s="7" t="s">
        <v>342</v>
      </c>
      <c r="F55" t="n">
        <v>1340</v>
      </c>
      <c r="G55" s="12" t="n">
        <v>1296</v>
      </c>
      <c r="H55" s="12" t="s">
        <v>343</v>
      </c>
      <c r="I55" s="2" t="s">
        <v>344</v>
      </c>
      <c r="J55" s="12" t="s">
        <v>345</v>
      </c>
      <c r="K55" s="1" t="s">
        <v>346</v>
      </c>
      <c r="L55" s="5" t="s">
        <v>347</v>
      </c>
      <c r="O55" s="5">
        <f>CONCATENATE(Tabell1[[#This Row],[OSM tag]],";",Tabell1[[#This Row],[tillegg]],";",Tabell1[[#This Row],[fixme]])</f>
        <v/>
      </c>
    </row>
    <row customHeight="1" ht="17" r="56" spans="1:18">
      <c r="A56" s="12" t="n">
        <v>2</v>
      </c>
      <c r="B56" s="12" t="s">
        <v>322</v>
      </c>
      <c r="C56" s="12" t="s">
        <v>329</v>
      </c>
      <c r="D56" s="12" t="n">
        <v>45</v>
      </c>
      <c r="E56" s="12" t="s">
        <v>348</v>
      </c>
      <c r="F56" t="n">
        <v>4313</v>
      </c>
      <c r="G56" s="12" t="n">
        <v>4298</v>
      </c>
      <c r="H56" s="12" t="s">
        <v>349</v>
      </c>
      <c r="I56" s="2" t="s">
        <v>350</v>
      </c>
      <c r="J56" s="12" t="s">
        <v>351</v>
      </c>
      <c r="K56" s="1" t="s">
        <v>352</v>
      </c>
      <c r="L56" s="5" t="s">
        <v>353</v>
      </c>
      <c r="O56" s="5">
        <f>CONCATENATE(Tabell1[[#This Row],[OSM tag]],";",Tabell1[[#This Row],[tillegg]],";",Tabell1[[#This Row],[fixme]])</f>
        <v/>
      </c>
    </row>
    <row customHeight="1" ht="17" r="57" spans="1:18">
      <c r="A57" s="12" t="n">
        <v>2</v>
      </c>
      <c r="B57" s="12" t="s">
        <v>322</v>
      </c>
      <c r="C57" s="12" t="s">
        <v>329</v>
      </c>
      <c r="D57" s="12" t="n">
        <v>46</v>
      </c>
      <c r="E57" s="12" t="s">
        <v>354</v>
      </c>
      <c r="F57" t="n">
        <v>278</v>
      </c>
      <c r="G57" s="12" t="n">
        <v>255</v>
      </c>
      <c r="H57" s="12" t="s">
        <v>355</v>
      </c>
      <c r="I57" s="2" t="s">
        <v>356</v>
      </c>
      <c r="J57" s="12" t="s">
        <v>357</v>
      </c>
      <c r="K57" s="1" t="s">
        <v>358</v>
      </c>
      <c r="L57" s="2" t="s">
        <v>359</v>
      </c>
      <c r="O57" s="5">
        <f>CONCATENATE(Tabell1[[#This Row],[OSM tag]],";",Tabell1[[#This Row],[tillegg]],";",Tabell1[[#This Row],[fixme]])</f>
        <v/>
      </c>
    </row>
    <row customHeight="1" ht="17" r="58" spans="1:18">
      <c r="A58" s="12" t="n">
        <v>2</v>
      </c>
      <c r="B58" s="12" t="s">
        <v>322</v>
      </c>
      <c r="C58" s="12" t="s">
        <v>329</v>
      </c>
      <c r="D58" s="12" t="n">
        <v>47</v>
      </c>
      <c r="E58" s="12" t="s">
        <v>360</v>
      </c>
      <c r="F58" t="n">
        <v>9816</v>
      </c>
      <c r="G58" s="12" t="n">
        <v>9498</v>
      </c>
      <c r="H58" s="12" t="s">
        <v>361</v>
      </c>
      <c r="I58" s="2" t="s">
        <v>362</v>
      </c>
      <c r="J58" s="12" t="s">
        <v>363</v>
      </c>
      <c r="K58" s="1" t="s">
        <v>364</v>
      </c>
      <c r="L58" s="5" t="s">
        <v>359</v>
      </c>
      <c r="O58" s="5">
        <f>CONCATENATE(Tabell1[[#This Row],[OSM tag]],";",Tabell1[[#This Row],[tillegg]],";",Tabell1[[#This Row],[fixme]])</f>
        <v/>
      </c>
    </row>
    <row customHeight="1" ht="17" r="59" spans="1:18">
      <c r="A59" s="12" t="n">
        <v>2</v>
      </c>
      <c r="B59" s="12" t="s">
        <v>322</v>
      </c>
      <c r="C59" s="12" t="s">
        <v>329</v>
      </c>
      <c r="D59" s="12" t="n">
        <v>48</v>
      </c>
      <c r="E59" s="12" t="s">
        <v>365</v>
      </c>
      <c r="F59" t="n">
        <v>414</v>
      </c>
      <c r="G59" s="12" t="n">
        <v>390</v>
      </c>
      <c r="H59" s="12" t="s">
        <v>366</v>
      </c>
      <c r="I59" s="2" t="s">
        <v>367</v>
      </c>
      <c r="J59" s="12" t="s">
        <v>368</v>
      </c>
      <c r="K59" s="1" t="s">
        <v>369</v>
      </c>
      <c r="L59" s="5" t="s">
        <v>335</v>
      </c>
      <c r="M59" s="5" t="n"/>
      <c r="O59" s="5">
        <f>CONCATENATE(Tabell1[[#This Row],[OSM tag]],";",Tabell1[[#This Row],[tillegg]],";",Tabell1[[#This Row],[fixme]])</f>
        <v/>
      </c>
    </row>
    <row customHeight="1" ht="34" r="60" spans="1:18">
      <c r="A60" s="12" t="n">
        <v>2</v>
      </c>
      <c r="B60" s="12" t="s">
        <v>322</v>
      </c>
      <c r="C60" s="12" t="s">
        <v>329</v>
      </c>
      <c r="D60" s="12" t="n">
        <v>49</v>
      </c>
      <c r="E60" s="12" t="s">
        <v>370</v>
      </c>
      <c r="F60" t="n">
        <v>1038</v>
      </c>
      <c r="G60" s="12" t="n">
        <v>923</v>
      </c>
      <c r="H60" s="12" t="s">
        <v>371</v>
      </c>
      <c r="I60" s="2" t="s">
        <v>372</v>
      </c>
      <c r="J60" s="12" t="s">
        <v>373</v>
      </c>
      <c r="K60" s="1" t="s">
        <v>374</v>
      </c>
      <c r="L60" s="5" t="s">
        <v>375</v>
      </c>
      <c r="M60" s="12" t="n"/>
      <c r="O60" s="5">
        <f>CONCATENATE(Tabell1[[#This Row],[OSM tag]],";",Tabell1[[#This Row],[tillegg]],";",Tabell1[[#This Row],[fixme]])</f>
        <v/>
      </c>
    </row>
    <row customHeight="1" ht="17" r="61" spans="1:18">
      <c r="A61" s="12" t="n">
        <v>2</v>
      </c>
      <c r="B61" s="12" t="s">
        <v>322</v>
      </c>
      <c r="C61" s="12" t="s">
        <v>329</v>
      </c>
      <c r="D61" s="12" t="n">
        <v>214</v>
      </c>
      <c r="E61" s="7" t="s">
        <v>376</v>
      </c>
      <c r="G61" s="12" t="n">
        <v>73</v>
      </c>
      <c r="H61" s="12" t="s">
        <v>377</v>
      </c>
      <c r="I61" s="2" t="s">
        <v>378</v>
      </c>
      <c r="J61" s="12" t="s">
        <v>379</v>
      </c>
      <c r="K61" s="5" t="n"/>
      <c r="L61" s="5" t="s">
        <v>347</v>
      </c>
      <c r="O61" s="5">
        <f>CONCATENATE(Tabell1[[#This Row],[OSM tag]],";",Tabell1[[#This Row],[tillegg]],";",Tabell1[[#This Row],[fixme]])</f>
        <v/>
      </c>
    </row>
    <row customHeight="1" ht="17" r="62" spans="1:18">
      <c r="A62" s="12" t="n">
        <v>2</v>
      </c>
      <c r="B62" s="12" t="s">
        <v>322</v>
      </c>
      <c r="C62" s="12" t="s">
        <v>380</v>
      </c>
      <c r="D62" s="12" t="n">
        <v>52</v>
      </c>
      <c r="E62" s="12" t="s">
        <v>381</v>
      </c>
      <c r="F62" t="n">
        <v>437</v>
      </c>
      <c r="G62" s="12" t="n">
        <v>399</v>
      </c>
      <c r="H62" s="12" t="s">
        <v>382</v>
      </c>
      <c r="I62" s="2" t="s">
        <v>383</v>
      </c>
      <c r="J62" s="12" t="s">
        <v>384</v>
      </c>
      <c r="K62" s="1" t="s">
        <v>385</v>
      </c>
      <c r="L62" s="5" t="s">
        <v>353</v>
      </c>
      <c r="O62" s="5">
        <f>CONCATENATE(Tabell1[[#This Row],[OSM tag]],";",Tabell1[[#This Row],[tillegg]],";",Tabell1[[#This Row],[fixme]])</f>
        <v/>
      </c>
    </row>
    <row customHeight="1" ht="17" r="63" spans="1:18">
      <c r="A63" s="12" t="n">
        <v>2</v>
      </c>
      <c r="B63" s="12" t="s">
        <v>322</v>
      </c>
      <c r="C63" s="12" t="s">
        <v>380</v>
      </c>
      <c r="D63" s="12" t="n">
        <v>53</v>
      </c>
      <c r="E63" s="12" t="s">
        <v>386</v>
      </c>
      <c r="G63" s="12" t="n">
        <v>26</v>
      </c>
      <c r="H63" s="12" t="s">
        <v>387</v>
      </c>
      <c r="I63" s="2" t="s">
        <v>388</v>
      </c>
      <c r="J63" s="12" t="s">
        <v>389</v>
      </c>
      <c r="K63" s="5" t="n"/>
      <c r="L63" s="2" t="s">
        <v>390</v>
      </c>
      <c r="M63" s="12" t="s">
        <v>90</v>
      </c>
      <c r="O63" s="5">
        <f>CONCATENATE(Tabell1[[#This Row],[OSM tag]],";",Tabell1[[#This Row],[tillegg]],";",Tabell1[[#This Row],[fixme]])</f>
        <v/>
      </c>
      <c r="P63" s="5" t="s">
        <v>391</v>
      </c>
    </row>
    <row customHeight="1" ht="17" r="64" spans="1:18">
      <c r="A64" s="12" t="n">
        <v>2</v>
      </c>
      <c r="B64" s="12" t="s">
        <v>322</v>
      </c>
      <c r="C64" s="12" t="s">
        <v>380</v>
      </c>
      <c r="D64" s="12" t="n">
        <v>54</v>
      </c>
      <c r="E64" s="12" t="s">
        <v>392</v>
      </c>
      <c r="F64" t="n">
        <v>236</v>
      </c>
      <c r="G64" s="12" t="n">
        <v>199</v>
      </c>
      <c r="H64" s="12" t="s">
        <v>393</v>
      </c>
      <c r="I64" s="2" t="s">
        <v>394</v>
      </c>
      <c r="J64" s="12" t="s">
        <v>395</v>
      </c>
      <c r="K64" s="1" t="s">
        <v>396</v>
      </c>
      <c r="L64" s="5" t="s">
        <v>397</v>
      </c>
      <c r="M64" s="12" t="s">
        <v>90</v>
      </c>
      <c r="O64" s="5">
        <f>CONCATENATE(Tabell1[[#This Row],[OSM tag]],";",Tabell1[[#This Row],[tillegg]],";",Tabell1[[#This Row],[fixme]])</f>
        <v/>
      </c>
    </row>
    <row customHeight="1" ht="17" r="65" spans="1:18">
      <c r="A65" s="12" t="n">
        <v>2</v>
      </c>
      <c r="B65" s="12" t="s">
        <v>322</v>
      </c>
      <c r="C65" s="12" t="s">
        <v>380</v>
      </c>
      <c r="D65" s="12" t="n">
        <v>55</v>
      </c>
      <c r="E65" s="12" t="s">
        <v>398</v>
      </c>
      <c r="G65" s="12" t="n">
        <v>32</v>
      </c>
      <c r="H65" s="12" t="s">
        <v>399</v>
      </c>
      <c r="I65" s="2" t="s">
        <v>400</v>
      </c>
      <c r="J65" s="12" t="s">
        <v>401</v>
      </c>
      <c r="K65" s="5" t="n"/>
      <c r="L65" s="5" t="s">
        <v>397</v>
      </c>
      <c r="M65" s="12" t="s">
        <v>90</v>
      </c>
      <c r="O65" s="5">
        <f>CONCATENATE(Tabell1[[#This Row],[OSM tag]],";",Tabell1[[#This Row],[tillegg]],";",Tabell1[[#This Row],[fixme]])</f>
        <v/>
      </c>
    </row>
    <row customHeight="1" ht="17" r="66" spans="1:18">
      <c r="A66" s="12" t="n">
        <v>2</v>
      </c>
      <c r="B66" s="12" t="s">
        <v>322</v>
      </c>
      <c r="C66" s="12" t="s">
        <v>402</v>
      </c>
      <c r="D66" s="12" t="n">
        <v>36</v>
      </c>
      <c r="E66" s="12" t="s">
        <v>403</v>
      </c>
      <c r="F66" t="n">
        <v>9365</v>
      </c>
      <c r="G66" s="12" t="n">
        <v>10146</v>
      </c>
      <c r="H66" s="12" t="s">
        <v>404</v>
      </c>
      <c r="I66" s="2" t="s">
        <v>405</v>
      </c>
      <c r="J66" s="12" t="s">
        <v>406</v>
      </c>
      <c r="K66" s="1" t="s">
        <v>407</v>
      </c>
      <c r="L66" s="5" t="s">
        <v>408</v>
      </c>
      <c r="O66" s="5">
        <f>CONCATENATE(Tabell1[[#This Row],[OSM tag]],";",Tabell1[[#This Row],[tillegg]],";",Tabell1[[#This Row],[fixme]])</f>
        <v/>
      </c>
    </row>
    <row customHeight="1" ht="17" r="67" spans="1:18">
      <c r="A67" s="12" t="n">
        <v>2</v>
      </c>
      <c r="B67" s="12" t="s">
        <v>322</v>
      </c>
      <c r="C67" s="12" t="s">
        <v>402</v>
      </c>
      <c r="D67" s="12" t="n">
        <v>37</v>
      </c>
      <c r="E67" s="12" t="s">
        <v>409</v>
      </c>
      <c r="F67" t="n">
        <v>43961</v>
      </c>
      <c r="G67" s="12" t="n">
        <v>44547</v>
      </c>
      <c r="H67" s="12" t="s">
        <v>410</v>
      </c>
      <c r="I67" s="2" t="s">
        <v>411</v>
      </c>
      <c r="J67" s="12" t="s">
        <v>412</v>
      </c>
      <c r="K67" s="1" t="s">
        <v>413</v>
      </c>
      <c r="L67" s="5" t="s">
        <v>414</v>
      </c>
      <c r="O67" s="5">
        <f>CONCATENATE(Tabell1[[#This Row],[OSM tag]],";",Tabell1[[#This Row],[tillegg]],";",Tabell1[[#This Row],[fixme]])</f>
        <v/>
      </c>
    </row>
    <row customHeight="1" ht="17" r="68" spans="1:18">
      <c r="A68" s="12" t="n">
        <v>2</v>
      </c>
      <c r="B68" s="12" t="s">
        <v>322</v>
      </c>
      <c r="C68" s="12" t="s">
        <v>402</v>
      </c>
      <c r="D68" s="12" t="n">
        <v>38</v>
      </c>
      <c r="E68" s="12" t="s">
        <v>415</v>
      </c>
      <c r="G68" s="12" t="n">
        <v>75</v>
      </c>
      <c r="H68" s="12" t="s">
        <v>416</v>
      </c>
      <c r="I68" s="2" t="s">
        <v>417</v>
      </c>
      <c r="J68" s="12" t="s">
        <v>418</v>
      </c>
      <c r="K68" s="5" t="n"/>
      <c r="L68" s="5" t="s">
        <v>419</v>
      </c>
      <c r="O68" s="5">
        <f>CONCATENATE(Tabell1[[#This Row],[OSM tag]],";",Tabell1[[#This Row],[tillegg]],";",Tabell1[[#This Row],[fixme]])</f>
        <v/>
      </c>
    </row>
    <row customHeight="1" ht="17" r="69" spans="1:18">
      <c r="A69" s="12" t="n">
        <v>2</v>
      </c>
      <c r="B69" s="12" t="s">
        <v>322</v>
      </c>
      <c r="C69" s="12" t="s">
        <v>402</v>
      </c>
      <c r="D69" s="12" t="n">
        <v>39</v>
      </c>
      <c r="E69" s="12" t="s">
        <v>420</v>
      </c>
      <c r="F69" t="n">
        <v>3528</v>
      </c>
      <c r="G69" s="12" t="n">
        <v>3394</v>
      </c>
      <c r="H69" s="12" t="s">
        <v>421</v>
      </c>
      <c r="I69" s="2" t="s">
        <v>422</v>
      </c>
      <c r="J69" s="12" t="s">
        <v>423</v>
      </c>
      <c r="K69" s="1" t="s">
        <v>424</v>
      </c>
      <c r="L69" s="5" t="s">
        <v>425</v>
      </c>
      <c r="O69" s="5">
        <f>CONCATENATE(Tabell1[[#This Row],[OSM tag]],";",Tabell1[[#This Row],[tillegg]],";",Tabell1[[#This Row],[fixme]])</f>
        <v/>
      </c>
    </row>
    <row customHeight="1" ht="34" r="70" spans="1:18">
      <c r="A70" s="12" t="n">
        <v>2</v>
      </c>
      <c r="B70" s="12" t="s">
        <v>322</v>
      </c>
      <c r="C70" s="12" t="s">
        <v>402</v>
      </c>
      <c r="D70" s="12" t="n">
        <v>40</v>
      </c>
      <c r="E70" s="12" t="s">
        <v>426</v>
      </c>
      <c r="F70" t="n">
        <v>496</v>
      </c>
      <c r="G70" s="12" t="n">
        <v>461</v>
      </c>
      <c r="H70" s="12" t="s">
        <v>427</v>
      </c>
      <c r="I70" s="2" t="s">
        <v>428</v>
      </c>
      <c r="J70" s="12" t="s">
        <v>429</v>
      </c>
      <c r="K70" s="1" t="s">
        <v>430</v>
      </c>
      <c r="L70" s="5" t="s">
        <v>431</v>
      </c>
      <c r="O70" s="5">
        <f>CONCATENATE(Tabell1[[#This Row],[OSM tag]],";",Tabell1[[#This Row],[tillegg]],";",Tabell1[[#This Row],[fixme]])</f>
        <v/>
      </c>
      <c r="P70" s="5" t="s">
        <v>432</v>
      </c>
    </row>
    <row customHeight="1" ht="34" r="71" spans="1:18">
      <c r="A71" s="12" t="n">
        <v>2</v>
      </c>
      <c r="B71" s="12" t="s">
        <v>322</v>
      </c>
      <c r="C71" s="12" t="s">
        <v>402</v>
      </c>
      <c r="D71" s="12" t="n">
        <v>41</v>
      </c>
      <c r="E71" s="12" t="s">
        <v>433</v>
      </c>
      <c r="F71" t="n">
        <v>1041</v>
      </c>
      <c r="G71" s="12" t="n">
        <v>1004</v>
      </c>
      <c r="H71" s="12" t="s">
        <v>434</v>
      </c>
      <c r="I71" s="2" t="s">
        <v>435</v>
      </c>
      <c r="J71" s="12" t="s">
        <v>436</v>
      </c>
      <c r="K71" s="1" t="s"/>
      <c r="L71" s="5" t="s">
        <v>341</v>
      </c>
      <c r="O71" s="5">
        <f>CONCATENATE(Tabell1[[#This Row],[OSM tag]],";",Tabell1[[#This Row],[tillegg]],";",Tabell1[[#This Row],[fixme]])</f>
        <v/>
      </c>
    </row>
    <row customHeight="1" ht="34" r="72" spans="1:18">
      <c r="A72" s="12" t="n">
        <v>2</v>
      </c>
      <c r="B72" s="12" t="s">
        <v>322</v>
      </c>
      <c r="C72" s="12" t="s">
        <v>402</v>
      </c>
      <c r="D72" s="12" t="n">
        <v>42</v>
      </c>
      <c r="E72" s="12" t="s">
        <v>437</v>
      </c>
      <c r="F72" t="n">
        <v>2678</v>
      </c>
      <c r="G72" s="12" t="n">
        <v>2461</v>
      </c>
      <c r="H72" s="12" t="s">
        <v>438</v>
      </c>
      <c r="I72" s="2" t="s">
        <v>439</v>
      </c>
      <c r="J72" s="12" t="s">
        <v>440</v>
      </c>
      <c r="K72" s="1" t="s">
        <v>441</v>
      </c>
      <c r="L72" s="2" t="n"/>
      <c r="M72" s="12" t="s">
        <v>90</v>
      </c>
      <c r="O72" s="5">
        <f>CONCATENATE(Tabell1[[#This Row],[OSM tag]],";",Tabell1[[#This Row],[tillegg]],";",Tabell1[[#This Row],[fixme]])</f>
        <v/>
      </c>
      <c r="P72" s="5" t="s">
        <v>442</v>
      </c>
    </row>
    <row customHeight="1" ht="17" r="73" spans="1:18">
      <c r="A73" s="12" t="n">
        <v>2</v>
      </c>
      <c r="B73" s="12" t="s">
        <v>322</v>
      </c>
      <c r="C73" s="12" t="s">
        <v>402</v>
      </c>
      <c r="D73" s="12" t="n">
        <v>43</v>
      </c>
      <c r="E73" s="12" t="s">
        <v>443</v>
      </c>
      <c r="F73" t="n">
        <v>1903</v>
      </c>
      <c r="G73" s="12" t="n">
        <v>1780</v>
      </c>
      <c r="H73" s="12" t="s">
        <v>444</v>
      </c>
      <c r="I73" s="2" t="s">
        <v>445</v>
      </c>
      <c r="J73" s="12" t="s">
        <v>446</v>
      </c>
      <c r="K73" s="1" t="s">
        <v>447</v>
      </c>
      <c r="L73" s="2" t="s">
        <v>448</v>
      </c>
      <c r="O73" s="5">
        <f>CONCATENATE(Tabell1[[#This Row],[OSM tag]],";",Tabell1[[#This Row],[tillegg]],";",Tabell1[[#This Row],[fixme]])</f>
        <v/>
      </c>
    </row>
    <row customHeight="1" ht="17" r="74" spans="1:18">
      <c r="A74" s="12" t="n">
        <v>8</v>
      </c>
      <c r="B74" s="12" t="s">
        <v>322</v>
      </c>
      <c r="C74" s="12" t="s">
        <v>402</v>
      </c>
      <c r="D74" s="12" t="n">
        <v>204</v>
      </c>
      <c r="E74" s="12" t="s">
        <v>449</v>
      </c>
      <c r="F74" t="n">
        <v>33</v>
      </c>
      <c r="G74" s="12" t="n">
        <v>15</v>
      </c>
      <c r="H74" s="12" t="s">
        <v>450</v>
      </c>
      <c r="I74" s="2" t="s">
        <v>451</v>
      </c>
      <c r="J74" s="12" t="s">
        <v>452</v>
      </c>
      <c r="K74" s="1" t="s">
        <v>453</v>
      </c>
      <c r="M74" s="5" t="s">
        <v>90</v>
      </c>
      <c r="O74" s="5">
        <f>CONCATENATE(Tabell1[[#This Row],[OSM tag]],";",Tabell1[[#This Row],[tillegg]],";",Tabell1[[#This Row],[fixme]])</f>
        <v/>
      </c>
    </row>
    <row customHeight="1" ht="17" r="75" spans="1:18">
      <c r="A75" s="12" t="n">
        <v>2</v>
      </c>
      <c r="B75" s="12" t="s">
        <v>322</v>
      </c>
      <c r="C75" s="12" t="s">
        <v>402</v>
      </c>
      <c r="D75" s="12" t="n">
        <v>242</v>
      </c>
      <c r="E75" s="12" t="s">
        <v>454</v>
      </c>
      <c r="F75" t="n">
        <v>662</v>
      </c>
      <c r="G75" s="12" t="n">
        <v>654</v>
      </c>
      <c r="H75" s="12" t="s">
        <v>455</v>
      </c>
      <c r="I75" s="2" t="s">
        <v>456</v>
      </c>
      <c r="J75" s="12" t="s">
        <v>457</v>
      </c>
      <c r="K75" s="1" t="s">
        <v>458</v>
      </c>
      <c r="L75" s="5" t="s">
        <v>359</v>
      </c>
      <c r="M75" s="12" t="n"/>
      <c r="O75" s="5">
        <f>CONCATENATE(Tabell1[[#This Row],[OSM tag]],";",Tabell1[[#This Row],[tillegg]],";",Tabell1[[#This Row],[fixme]])</f>
        <v/>
      </c>
    </row>
    <row customHeight="1" ht="17" r="76" spans="1:18">
      <c r="A76" s="12" t="n">
        <v>2</v>
      </c>
      <c r="B76" s="12" t="s">
        <v>322</v>
      </c>
      <c r="C76" s="12" t="s">
        <v>402</v>
      </c>
      <c r="D76" s="12" t="n">
        <v>243</v>
      </c>
      <c r="E76" s="12" t="s">
        <v>459</v>
      </c>
      <c r="G76" s="12" t="n">
        <v>126</v>
      </c>
      <c r="H76" s="12" t="s">
        <v>460</v>
      </c>
      <c r="I76" s="2" t="s">
        <v>461</v>
      </c>
      <c r="J76" s="12" t="s">
        <v>462</v>
      </c>
      <c r="K76" s="5" t="n"/>
      <c r="L76" s="5" t="s">
        <v>463</v>
      </c>
      <c r="O76" s="5">
        <f>CONCATENATE(Tabell1[[#This Row],[OSM tag]],";",Tabell1[[#This Row],[tillegg]],";",Tabell1[[#This Row],[fixme]])</f>
        <v/>
      </c>
    </row>
    <row customHeight="1" ht="17" r="77" spans="1:18">
      <c r="A77" s="12" t="n">
        <v>2</v>
      </c>
      <c r="B77" s="12" t="s">
        <v>322</v>
      </c>
      <c r="C77" s="12" t="s">
        <v>402</v>
      </c>
      <c r="D77" s="12" t="n">
        <v>306</v>
      </c>
      <c r="E77" s="12" t="s">
        <v>464</v>
      </c>
      <c r="G77" s="12" t="n">
        <v>9</v>
      </c>
      <c r="H77" s="12" t="s">
        <v>465</v>
      </c>
      <c r="I77" s="2" t="s">
        <v>466</v>
      </c>
      <c r="J77" s="12" t="s">
        <v>467</v>
      </c>
      <c r="K77" s="5" t="n"/>
      <c r="M77" s="12" t="s">
        <v>90</v>
      </c>
      <c r="O77" s="5">
        <f>CONCATENATE(Tabell1[[#This Row],[OSM tag]],";",Tabell1[[#This Row],[tillegg]],";",Tabell1[[#This Row],[fixme]])</f>
        <v/>
      </c>
    </row>
    <row customHeight="1" ht="17" r="78" spans="1:18">
      <c r="A78" s="12" t="n">
        <v>2</v>
      </c>
      <c r="B78" s="12" t="s">
        <v>322</v>
      </c>
      <c r="C78" s="12" t="s">
        <v>468</v>
      </c>
      <c r="D78" s="12" t="n">
        <v>30</v>
      </c>
      <c r="E78" s="12" t="s">
        <v>469</v>
      </c>
      <c r="F78" t="n">
        <v>384</v>
      </c>
      <c r="G78" s="12" t="n">
        <v>470</v>
      </c>
      <c r="H78" s="12" t="s">
        <v>470</v>
      </c>
      <c r="I78" s="2" t="s">
        <v>471</v>
      </c>
      <c r="J78" s="12" t="s">
        <v>472</v>
      </c>
      <c r="K78" s="1" t="s">
        <v>473</v>
      </c>
      <c r="L78" s="5" t="s">
        <v>448</v>
      </c>
      <c r="O78" s="5">
        <f>CONCATENATE(Tabell1[[#This Row],[OSM tag]],";",Tabell1[[#This Row],[tillegg]],";",Tabell1[[#This Row],[fixme]])</f>
        <v/>
      </c>
    </row>
    <row customHeight="1" ht="17" r="79" spans="1:18">
      <c r="A79" s="12" t="n">
        <v>2</v>
      </c>
      <c r="B79" s="12" t="s">
        <v>322</v>
      </c>
      <c r="C79" s="12" t="s">
        <v>468</v>
      </c>
      <c r="D79" s="12" t="n">
        <v>31</v>
      </c>
      <c r="E79" s="7" t="s">
        <v>474</v>
      </c>
      <c r="F79" t="n">
        <v>13014</v>
      </c>
      <c r="G79" s="12" t="n">
        <v>14069</v>
      </c>
      <c r="H79" s="12" t="s">
        <v>475</v>
      </c>
      <c r="I79" s="3" t="s">
        <v>476</v>
      </c>
      <c r="J79" s="12" t="s">
        <v>477</v>
      </c>
      <c r="K79" s="1" t="s">
        <v>478</v>
      </c>
      <c r="L79" s="5" t="s">
        <v>448</v>
      </c>
      <c r="O79" s="5">
        <f>CONCATENATE(Tabell1[[#This Row],[OSM tag]],";",Tabell1[[#This Row],[tillegg]],";",Tabell1[[#This Row],[fixme]])</f>
        <v/>
      </c>
    </row>
    <row customHeight="1" ht="17" r="80" spans="1:18">
      <c r="A80" s="12" t="n">
        <v>2</v>
      </c>
      <c r="B80" s="12" t="s">
        <v>322</v>
      </c>
      <c r="C80" s="12" t="s">
        <v>468</v>
      </c>
      <c r="D80" s="12" t="n">
        <v>32</v>
      </c>
      <c r="E80" s="7" t="s">
        <v>479</v>
      </c>
      <c r="F80" t="n">
        <v>60120</v>
      </c>
      <c r="G80" s="12" t="n">
        <v>62457</v>
      </c>
      <c r="H80" s="12" t="s">
        <v>480</v>
      </c>
      <c r="I80" s="2" t="s">
        <v>481</v>
      </c>
      <c r="J80" s="12" t="s">
        <v>482</v>
      </c>
      <c r="K80" s="1" t="s">
        <v>483</v>
      </c>
      <c r="L80" s="5" t="s">
        <v>484</v>
      </c>
      <c r="O80" s="5">
        <f>CONCATENATE(Tabell1[[#This Row],[OSM tag]],";",Tabell1[[#This Row],[tillegg]],";",Tabell1[[#This Row],[fixme]])</f>
        <v/>
      </c>
    </row>
    <row customHeight="1" ht="17" r="81" spans="1:18">
      <c r="A81" s="12" t="n">
        <v>2</v>
      </c>
      <c r="B81" s="12" t="s">
        <v>322</v>
      </c>
      <c r="C81" s="12" t="s">
        <v>468</v>
      </c>
      <c r="D81" s="12" t="n">
        <v>33</v>
      </c>
      <c r="E81" s="12" t="s">
        <v>485</v>
      </c>
      <c r="F81" t="n">
        <v>1452</v>
      </c>
      <c r="G81" s="12" t="n">
        <v>1286</v>
      </c>
      <c r="H81" s="12" t="s">
        <v>486</v>
      </c>
      <c r="I81" s="2" t="s">
        <v>487</v>
      </c>
      <c r="J81" s="12" t="s">
        <v>488</v>
      </c>
      <c r="K81" s="1" t="s">
        <v>489</v>
      </c>
      <c r="L81" s="5" t="s">
        <v>490</v>
      </c>
      <c r="O81" s="5">
        <f>CONCATENATE(Tabell1[[#This Row],[OSM tag]],";",Tabell1[[#This Row],[tillegg]],";",Tabell1[[#This Row],[fixme]])</f>
        <v/>
      </c>
    </row>
    <row customHeight="1" ht="34" r="82" spans="1:18">
      <c r="A82" s="12" t="n">
        <v>8</v>
      </c>
      <c r="B82" s="12" t="s">
        <v>322</v>
      </c>
      <c r="C82" s="12" t="s">
        <v>468</v>
      </c>
      <c r="D82" s="12" t="n">
        <v>201</v>
      </c>
      <c r="E82" s="12" t="s">
        <v>491</v>
      </c>
      <c r="F82" t="n">
        <v>982</v>
      </c>
      <c r="G82" s="12" t="n">
        <v>884</v>
      </c>
      <c r="H82" s="12" t="s">
        <v>492</v>
      </c>
      <c r="I82" s="2" t="s">
        <v>493</v>
      </c>
      <c r="J82" s="12" t="s">
        <v>494</v>
      </c>
      <c r="K82" s="1" t="s">
        <v>495</v>
      </c>
      <c r="L82" s="5" t="s">
        <v>496</v>
      </c>
      <c r="M82" s="12" t="n"/>
      <c r="O82" s="5">
        <f>CONCATENATE(Tabell1[[#This Row],[OSM tag]],";",Tabell1[[#This Row],[tillegg]],";",Tabell1[[#This Row],[fixme]])</f>
        <v/>
      </c>
    </row>
    <row customHeight="1" ht="17" r="83" spans="1:18">
      <c r="A83" s="12" t="n">
        <v>2</v>
      </c>
      <c r="B83" s="12" t="s">
        <v>322</v>
      </c>
      <c r="C83" s="12" t="s">
        <v>468</v>
      </c>
      <c r="D83" s="12" t="n">
        <v>257</v>
      </c>
      <c r="E83" s="12" t="s">
        <v>497</v>
      </c>
      <c r="F83" t="n">
        <v>198</v>
      </c>
      <c r="G83" s="12" t="n">
        <v>129</v>
      </c>
      <c r="H83" s="12" t="s">
        <v>498</v>
      </c>
      <c r="I83" s="2" t="s">
        <v>499</v>
      </c>
      <c r="J83" s="12" t="s">
        <v>500</v>
      </c>
      <c r="K83" s="1" t="s">
        <v>501</v>
      </c>
      <c r="L83" s="5" t="s">
        <v>484</v>
      </c>
      <c r="M83" s="12" t="n"/>
      <c r="O83" s="5">
        <f>CONCATENATE(Tabell1[[#This Row],[OSM tag]],";",Tabell1[[#This Row],[tillegg]],";",Tabell1[[#This Row],[fixme]])</f>
        <v/>
      </c>
    </row>
    <row customHeight="1" ht="17" r="84" spans="1:18">
      <c r="A84" s="12" t="n">
        <v>2</v>
      </c>
      <c r="B84" s="12" t="s">
        <v>322</v>
      </c>
      <c r="C84" s="12" t="s">
        <v>468</v>
      </c>
      <c r="D84" s="12" t="n">
        <v>261</v>
      </c>
      <c r="E84" s="12" t="s">
        <v>502</v>
      </c>
      <c r="F84" t="n">
        <v>250</v>
      </c>
      <c r="G84" s="12" t="n">
        <v>166</v>
      </c>
      <c r="H84" s="12" t="s">
        <v>503</v>
      </c>
      <c r="I84" s="2" t="s">
        <v>504</v>
      </c>
      <c r="J84" s="12" t="s">
        <v>505</v>
      </c>
      <c r="K84" s="1" t="s">
        <v>506</v>
      </c>
      <c r="L84" s="5" t="s">
        <v>448</v>
      </c>
      <c r="M84" s="12" t="n"/>
      <c r="O84" s="5">
        <f>CONCATENATE(Tabell1[[#This Row],[OSM tag]],";",Tabell1[[#This Row],[tillegg]],";",Tabell1[[#This Row],[fixme]])</f>
        <v/>
      </c>
    </row>
    <row customHeight="1" ht="17" r="85" spans="1:18">
      <c r="A85" s="12" t="n">
        <v>2</v>
      </c>
      <c r="B85" s="12" t="s">
        <v>322</v>
      </c>
      <c r="C85" s="12" t="s">
        <v>468</v>
      </c>
      <c r="D85" s="12" t="n">
        <v>262</v>
      </c>
      <c r="E85" s="12" t="s">
        <v>507</v>
      </c>
      <c r="F85" t="n">
        <v>1195</v>
      </c>
      <c r="G85" s="12" t="n">
        <v>687</v>
      </c>
      <c r="H85" s="12" t="s">
        <v>508</v>
      </c>
      <c r="I85" s="2" t="s">
        <v>509</v>
      </c>
      <c r="J85" s="12" t="s">
        <v>510</v>
      </c>
      <c r="K85" s="1" t="s">
        <v>511</v>
      </c>
      <c r="L85" s="5" t="s">
        <v>448</v>
      </c>
      <c r="O85" s="5">
        <f>CONCATENATE(Tabell1[[#This Row],[OSM tag]],";",Tabell1[[#This Row],[tillegg]],";",Tabell1[[#This Row],[fixme]])</f>
        <v/>
      </c>
    </row>
    <row customHeight="1" ht="34" r="86" spans="1:18">
      <c r="A86" s="12" t="n">
        <v>6</v>
      </c>
      <c r="B86" s="12" t="s">
        <v>512</v>
      </c>
      <c r="C86" s="12" t="s">
        <v>513</v>
      </c>
      <c r="D86" s="12" t="n">
        <v>161</v>
      </c>
      <c r="E86" s="12" t="s">
        <v>514</v>
      </c>
      <c r="F86" t="n">
        <v>444</v>
      </c>
      <c r="G86" s="12" t="n">
        <v>506</v>
      </c>
      <c r="H86" s="12" t="s">
        <v>515</v>
      </c>
      <c r="I86" s="2" t="s">
        <v>516</v>
      </c>
      <c r="J86" s="12" t="s">
        <v>517</v>
      </c>
      <c r="K86" s="1" t="s">
        <v>518</v>
      </c>
      <c r="L86" s="5" t="s">
        <v>519</v>
      </c>
      <c r="O86" s="5">
        <f>CONCATENATE(Tabell1[[#This Row],[OSM tag]],";",Tabell1[[#This Row],[tillegg]],";",Tabell1[[#This Row],[fixme]])</f>
        <v/>
      </c>
      <c r="P86" s="5" t="s">
        <v>520</v>
      </c>
    </row>
    <row customHeight="1" ht="17" r="87" spans="1:18">
      <c r="A87" s="12" t="n">
        <v>6</v>
      </c>
      <c r="B87" s="12" t="s">
        <v>512</v>
      </c>
      <c r="C87" s="12" t="s">
        <v>513</v>
      </c>
      <c r="D87" s="12" t="n">
        <v>162</v>
      </c>
      <c r="E87" s="12" t="s">
        <v>521</v>
      </c>
      <c r="F87" t="n">
        <v>262</v>
      </c>
      <c r="G87" s="12" t="n">
        <v>215</v>
      </c>
      <c r="H87" s="12" t="s">
        <v>522</v>
      </c>
      <c r="I87" s="2" t="s">
        <v>523</v>
      </c>
      <c r="J87" s="12" t="s">
        <v>524</v>
      </c>
      <c r="K87" s="1" t="s">
        <v>525</v>
      </c>
      <c r="L87" s="5" t="s">
        <v>526</v>
      </c>
      <c r="O87" s="5">
        <f>CONCATENATE(Tabell1[[#This Row],[OSM tag]],";",Tabell1[[#This Row],[tillegg]],";",Tabell1[[#This Row],[fixme]])</f>
        <v/>
      </c>
      <c r="P87" s="5" t="s">
        <v>520</v>
      </c>
    </row>
    <row customHeight="1" ht="17" r="88" spans="1:18">
      <c r="A88" s="12" t="n">
        <v>6</v>
      </c>
      <c r="B88" s="12" t="s">
        <v>512</v>
      </c>
      <c r="C88" s="12" t="s">
        <v>513</v>
      </c>
      <c r="D88" s="12" t="n">
        <v>219</v>
      </c>
      <c r="E88" s="12" t="s">
        <v>527</v>
      </c>
      <c r="G88" s="12" t="n">
        <v>45</v>
      </c>
      <c r="H88" s="12" t="s">
        <v>528</v>
      </c>
      <c r="I88" s="2" t="s">
        <v>529</v>
      </c>
      <c r="J88" s="12" t="s">
        <v>530</v>
      </c>
      <c r="K88" s="5" t="n"/>
      <c r="L88" s="9" t="n"/>
      <c r="O88" s="5">
        <f>CONCATENATE(Tabell1[[#This Row],[OSM tag]],";",Tabell1[[#This Row],[tillegg]],";",Tabell1[[#This Row],[fixme]])</f>
        <v/>
      </c>
      <c r="P88" s="5" t="s">
        <v>531</v>
      </c>
    </row>
    <row customHeight="1" ht="17" r="89" spans="1:18">
      <c r="A89" s="12" t="n">
        <v>5</v>
      </c>
      <c r="B89" s="12" t="s">
        <v>512</v>
      </c>
      <c r="C89" s="12" t="s">
        <v>532</v>
      </c>
      <c r="D89" s="12" t="n">
        <v>114</v>
      </c>
      <c r="E89" s="12" t="s">
        <v>533</v>
      </c>
      <c r="F89" t="n">
        <v>175</v>
      </c>
      <c r="G89" s="12" t="n">
        <v>174</v>
      </c>
      <c r="H89" s="12" t="s">
        <v>534</v>
      </c>
      <c r="I89" s="2" t="s">
        <v>535</v>
      </c>
      <c r="J89" s="12" t="s">
        <v>536</v>
      </c>
      <c r="K89" s="1" t="s">
        <v>537</v>
      </c>
      <c r="L89" s="5" t="s">
        <v>538</v>
      </c>
      <c r="O89" s="5">
        <f>CONCATENATE(Tabell1[[#This Row],[OSM tag]],";",Tabell1[[#This Row],[tillegg]],";",Tabell1[[#This Row],[fixme]])</f>
        <v/>
      </c>
    </row>
    <row customHeight="1" ht="17" r="90" spans="1:18">
      <c r="A90" s="12" t="n">
        <v>8</v>
      </c>
      <c r="B90" s="12" t="s">
        <v>512</v>
      </c>
      <c r="C90" s="12" t="s">
        <v>532</v>
      </c>
      <c r="D90" s="12" t="n">
        <v>196</v>
      </c>
      <c r="E90" s="12" t="s">
        <v>539</v>
      </c>
      <c r="G90" s="12" t="n">
        <v>5</v>
      </c>
      <c r="H90" s="12" t="s">
        <v>540</v>
      </c>
      <c r="I90" s="2" t="s">
        <v>541</v>
      </c>
      <c r="J90" s="12" t="s">
        <v>542</v>
      </c>
      <c r="K90" s="5" t="n"/>
      <c r="L90" s="5" t="s">
        <v>543</v>
      </c>
      <c r="O90" s="5">
        <f>CONCATENATE(Tabell1[[#This Row],[OSM tag]],";",Tabell1[[#This Row],[tillegg]],";",Tabell1[[#This Row],[fixme]])</f>
        <v/>
      </c>
    </row>
    <row customHeight="1" ht="34" r="91" spans="1:18">
      <c r="A91" s="12" t="n">
        <v>8</v>
      </c>
      <c r="B91" s="12" t="s">
        <v>512</v>
      </c>
      <c r="C91" s="12" t="s">
        <v>532</v>
      </c>
      <c r="D91" s="12" t="n">
        <v>197</v>
      </c>
      <c r="E91" s="12" t="s">
        <v>544</v>
      </c>
      <c r="G91" s="12" t="n">
        <v>3</v>
      </c>
      <c r="H91" s="12" t="s">
        <v>545</v>
      </c>
      <c r="I91" s="2" t="s">
        <v>546</v>
      </c>
      <c r="J91" s="12" t="s">
        <v>547</v>
      </c>
      <c r="K91" s="5" t="n"/>
      <c r="L91" s="5" t="s">
        <v>548</v>
      </c>
      <c r="O91" s="5">
        <f>CONCATENATE(Tabell1[[#This Row],[OSM tag]],";",Tabell1[[#This Row],[tillegg]],";",Tabell1[[#This Row],[fixme]])</f>
        <v/>
      </c>
    </row>
    <row customHeight="1" ht="17" r="92" spans="1:18">
      <c r="A92" s="12" t="n">
        <v>8</v>
      </c>
      <c r="B92" s="12" t="s">
        <v>512</v>
      </c>
      <c r="C92" s="12" t="s">
        <v>532</v>
      </c>
      <c r="D92" s="12" t="n">
        <v>198</v>
      </c>
      <c r="E92" s="7" t="s">
        <v>549</v>
      </c>
      <c r="G92" s="12" t="n">
        <v>17</v>
      </c>
      <c r="H92" s="12" t="s">
        <v>550</v>
      </c>
      <c r="I92" s="2" t="s">
        <v>551</v>
      </c>
      <c r="J92" s="12" t="s">
        <v>552</v>
      </c>
      <c r="K92" s="5" t="n"/>
      <c r="O92" s="5">
        <f>CONCATENATE(Tabell1[[#This Row],[OSM tag]],";",Tabell1[[#This Row],[tillegg]],";",Tabell1[[#This Row],[fixme]])</f>
        <v/>
      </c>
      <c r="P92" s="5" t="s">
        <v>553</v>
      </c>
    </row>
    <row customHeight="1" ht="17" r="93" spans="1:18">
      <c r="A93" s="12" t="n">
        <v>8</v>
      </c>
      <c r="B93" s="12" t="s">
        <v>512</v>
      </c>
      <c r="C93" s="12" t="s">
        <v>532</v>
      </c>
      <c r="D93" s="12" t="n">
        <v>199</v>
      </c>
      <c r="E93" s="7" t="s">
        <v>554</v>
      </c>
      <c r="G93" s="12" t="n">
        <v>1</v>
      </c>
      <c r="H93" s="12" t="s">
        <v>555</v>
      </c>
      <c r="I93" s="2" t="s">
        <v>556</v>
      </c>
      <c r="J93" s="12" t="s">
        <v>557</v>
      </c>
      <c r="K93" s="5" t="n"/>
      <c r="L93" s="5" t="s">
        <v>558</v>
      </c>
      <c r="O93" s="5">
        <f>CONCATENATE(Tabell1[[#This Row],[OSM tag]],";",Tabell1[[#This Row],[tillegg]],";",Tabell1[[#This Row],[fixme]])</f>
        <v/>
      </c>
    </row>
    <row customHeight="1" ht="17" r="94" spans="1:18">
      <c r="A94" s="12" t="n">
        <v>8</v>
      </c>
      <c r="B94" s="12" t="s">
        <v>512</v>
      </c>
      <c r="C94" s="12" t="s">
        <v>532</v>
      </c>
      <c r="D94" s="12" t="n">
        <v>200</v>
      </c>
      <c r="E94" s="12" t="s">
        <v>559</v>
      </c>
      <c r="G94" s="12" t="n">
        <v>1</v>
      </c>
      <c r="H94" s="12" t="s">
        <v>560</v>
      </c>
      <c r="I94" s="2" t="s">
        <v>561</v>
      </c>
      <c r="J94" s="12" t="s">
        <v>562</v>
      </c>
      <c r="K94" s="5" t="n"/>
      <c r="L94" s="5" t="s">
        <v>563</v>
      </c>
      <c r="O94" s="5">
        <f>CONCATENATE(Tabell1[[#This Row],[OSM tag]],";",Tabell1[[#This Row],[tillegg]],";",Tabell1[[#This Row],[fixme]])</f>
        <v/>
      </c>
    </row>
    <row customHeight="1" ht="34" r="95" spans="1:18">
      <c r="A95" s="12" t="n">
        <v>5</v>
      </c>
      <c r="B95" s="12" t="s">
        <v>512</v>
      </c>
      <c r="C95" s="12" t="s">
        <v>564</v>
      </c>
      <c r="D95" s="12" t="n">
        <v>131</v>
      </c>
      <c r="E95" s="7" t="s">
        <v>565</v>
      </c>
      <c r="G95" s="12" t="n">
        <v>29</v>
      </c>
      <c r="H95" s="12" t="s">
        <v>566</v>
      </c>
      <c r="I95" s="2" t="s">
        <v>567</v>
      </c>
      <c r="J95" s="12" t="s">
        <v>568</v>
      </c>
      <c r="K95" s="5" t="n"/>
      <c r="L95" s="2" t="s">
        <v>569</v>
      </c>
      <c r="O95" s="5">
        <f>CONCATENATE(Tabell1[[#This Row],[OSM tag]],";",Tabell1[[#This Row],[tillegg]],";",Tabell1[[#This Row],[fixme]])</f>
        <v/>
      </c>
      <c r="P95" s="5" t="s">
        <v>570</v>
      </c>
    </row>
    <row customHeight="1" ht="34" r="96" spans="1:18">
      <c r="A96" s="12" t="n">
        <v>6</v>
      </c>
      <c r="B96" s="12" t="s">
        <v>512</v>
      </c>
      <c r="C96" s="12" t="s">
        <v>571</v>
      </c>
      <c r="D96" s="12" t="n">
        <v>164</v>
      </c>
      <c r="E96" s="12" t="s">
        <v>572</v>
      </c>
      <c r="F96" t="n">
        <v>75</v>
      </c>
      <c r="G96" s="12" t="n">
        <v>120</v>
      </c>
      <c r="H96" s="12" t="s">
        <v>573</v>
      </c>
      <c r="I96" s="2" t="s">
        <v>574</v>
      </c>
      <c r="J96" s="12" t="s">
        <v>575</v>
      </c>
      <c r="K96" s="1" t="s">
        <v>576</v>
      </c>
      <c r="L96" s="5" t="s">
        <v>577</v>
      </c>
      <c r="O96" s="5">
        <f>CONCATENATE(Tabell1[[#This Row],[OSM tag]],";",Tabell1[[#This Row],[tillegg]],";",Tabell1[[#This Row],[fixme]])</f>
        <v/>
      </c>
    </row>
    <row customHeight="1" ht="17" r="97" spans="1:18">
      <c r="A97" s="12" t="n">
        <v>6</v>
      </c>
      <c r="B97" s="12" t="s">
        <v>512</v>
      </c>
      <c r="C97" s="12" t="s">
        <v>571</v>
      </c>
      <c r="D97" s="12" t="n">
        <v>165</v>
      </c>
      <c r="E97" s="12" t="s">
        <v>578</v>
      </c>
      <c r="G97" s="12" t="n">
        <v>22</v>
      </c>
      <c r="H97" s="12" t="s">
        <v>579</v>
      </c>
      <c r="I97" s="2" t="s">
        <v>580</v>
      </c>
      <c r="J97" s="12" t="s">
        <v>581</v>
      </c>
      <c r="K97" s="5" t="n"/>
      <c r="L97" s="5" t="s">
        <v>582</v>
      </c>
      <c r="O97" s="5">
        <f>CONCATENATE(Tabell1[[#This Row],[OSM tag]],";",Tabell1[[#This Row],[tillegg]],";",Tabell1[[#This Row],[fixme]])</f>
        <v/>
      </c>
    </row>
    <row customHeight="1" ht="34" r="98" spans="1:18">
      <c r="A98" s="12" t="n">
        <v>5</v>
      </c>
      <c r="B98" s="12" t="s">
        <v>512</v>
      </c>
      <c r="C98" s="12" t="s">
        <v>583</v>
      </c>
      <c r="D98" s="12" t="n">
        <v>129</v>
      </c>
      <c r="E98" s="12" t="s">
        <v>584</v>
      </c>
      <c r="F98" t="n">
        <v>105</v>
      </c>
      <c r="G98" s="12" t="n">
        <v>98</v>
      </c>
      <c r="H98" s="12" t="s">
        <v>585</v>
      </c>
      <c r="I98" s="2" t="s">
        <v>586</v>
      </c>
      <c r="J98" s="12" t="s">
        <v>587</v>
      </c>
      <c r="K98" s="1" t="s">
        <v>588</v>
      </c>
      <c r="O98" s="5">
        <f>CONCATENATE(Tabell1[[#This Row],[OSM tag]],";",Tabell1[[#This Row],[tillegg]],";",Tabell1[[#This Row],[fixme]])</f>
        <v/>
      </c>
      <c r="P98" s="5" t="s">
        <v>589</v>
      </c>
    </row>
    <row customHeight="1" ht="17" r="99" spans="1:18">
      <c r="A99" s="12" t="n">
        <v>5</v>
      </c>
      <c r="B99" s="12" t="s">
        <v>512</v>
      </c>
      <c r="C99" s="12" t="s">
        <v>583</v>
      </c>
      <c r="D99" s="12" t="n">
        <v>130</v>
      </c>
      <c r="E99" s="12" t="s">
        <v>590</v>
      </c>
      <c r="F99" t="n">
        <v>2282</v>
      </c>
      <c r="G99" s="12" t="n">
        <v>2333</v>
      </c>
      <c r="H99" s="12" t="s">
        <v>591</v>
      </c>
      <c r="I99" s="2" t="s">
        <v>592</v>
      </c>
      <c r="J99" s="12" t="s">
        <v>593</v>
      </c>
      <c r="K99" s="1" t="s">
        <v>594</v>
      </c>
      <c r="O99" s="5">
        <f>CONCATENATE(Tabell1[[#This Row],[OSM tag]],";",Tabell1[[#This Row],[tillegg]],";",Tabell1[[#This Row],[fixme]])</f>
        <v/>
      </c>
      <c r="P99" s="5" t="s">
        <v>589</v>
      </c>
    </row>
    <row customHeight="1" ht="34" r="100" spans="1:18">
      <c r="A100" s="12" t="n">
        <v>8</v>
      </c>
      <c r="B100" s="12" t="s">
        <v>512</v>
      </c>
      <c r="C100" s="12" t="s">
        <v>583</v>
      </c>
      <c r="D100" s="12" t="n">
        <v>254</v>
      </c>
      <c r="E100" s="7" t="s">
        <v>595</v>
      </c>
      <c r="F100" t="n">
        <v>254</v>
      </c>
      <c r="G100" s="12" t="n">
        <v>202</v>
      </c>
      <c r="H100" s="12" t="s">
        <v>596</v>
      </c>
      <c r="I100" s="2" t="s">
        <v>597</v>
      </c>
      <c r="J100" s="12" t="s">
        <v>598</v>
      </c>
      <c r="K100" s="1" t="s">
        <v>599</v>
      </c>
      <c r="L100" s="5" t="s">
        <v>600</v>
      </c>
      <c r="M100" s="12" t="s">
        <v>90</v>
      </c>
      <c r="O100" s="5">
        <f>CONCATENATE(Tabell1[[#This Row],[OSM tag]],";",Tabell1[[#This Row],[tillegg]],";",Tabell1[[#This Row],[fixme]])</f>
        <v/>
      </c>
    </row>
    <row customHeight="1" ht="34" r="101" spans="1:18">
      <c r="A101" s="12" t="n">
        <v>8</v>
      </c>
      <c r="B101" s="12" t="s">
        <v>512</v>
      </c>
      <c r="C101" s="12" t="s">
        <v>583</v>
      </c>
      <c r="D101" s="12" t="n">
        <v>272</v>
      </c>
      <c r="E101" s="12" t="s">
        <v>601</v>
      </c>
      <c r="F101" t="n">
        <v>537</v>
      </c>
      <c r="G101" s="12" t="n">
        <v>490</v>
      </c>
      <c r="H101" s="12" t="s">
        <v>602</v>
      </c>
      <c r="I101" s="2" t="s">
        <v>603</v>
      </c>
      <c r="J101" s="12" t="s">
        <v>604</v>
      </c>
      <c r="K101" s="1" t="s"/>
      <c r="O101" s="5">
        <f>CONCATENATE(Tabell1[[#This Row],[OSM tag]],";",Tabell1[[#This Row],[tillegg]],";",Tabell1[[#This Row],[fixme]])</f>
        <v/>
      </c>
      <c r="P101" s="5" t="s">
        <v>553</v>
      </c>
    </row>
    <row customHeight="1" ht="17" r="102" spans="1:18">
      <c r="A102" s="12" t="n">
        <v>8</v>
      </c>
      <c r="B102" s="12" t="s">
        <v>512</v>
      </c>
      <c r="C102" s="12" t="s">
        <v>583</v>
      </c>
      <c r="D102" s="12" t="n">
        <v>273</v>
      </c>
      <c r="E102" s="12" t="s">
        <v>605</v>
      </c>
      <c r="G102" s="12" t="n">
        <v>5</v>
      </c>
      <c r="H102" s="12" t="s">
        <v>606</v>
      </c>
      <c r="I102" s="2" t="s">
        <v>607</v>
      </c>
      <c r="J102" s="12" t="s">
        <v>608</v>
      </c>
      <c r="K102" s="5" t="n"/>
      <c r="O102" s="5">
        <f>CONCATENATE(Tabell1[[#This Row],[OSM tag]],";",Tabell1[[#This Row],[tillegg]],";",Tabell1[[#This Row],[fixme]])</f>
        <v/>
      </c>
      <c r="P102" s="5" t="s">
        <v>553</v>
      </c>
    </row>
    <row customHeight="1" ht="34" r="103" spans="1:18">
      <c r="A103" s="12" t="n">
        <v>8</v>
      </c>
      <c r="B103" s="12" t="s">
        <v>512</v>
      </c>
      <c r="C103" s="12" t="s">
        <v>583</v>
      </c>
      <c r="D103" s="12" t="n">
        <v>275</v>
      </c>
      <c r="E103" s="12" t="s">
        <v>609</v>
      </c>
      <c r="G103" s="12" t="n">
        <v>67</v>
      </c>
      <c r="H103" s="12" t="s">
        <v>610</v>
      </c>
      <c r="I103" s="2" t="s">
        <v>611</v>
      </c>
      <c r="J103" s="12" t="s">
        <v>612</v>
      </c>
      <c r="K103" s="5" t="n"/>
      <c r="O103" s="5">
        <f>CONCATENATE(Tabell1[[#This Row],[OSM tag]],";",Tabell1[[#This Row],[tillegg]],";",Tabell1[[#This Row],[fixme]])</f>
        <v/>
      </c>
      <c r="P103" s="5" t="s">
        <v>553</v>
      </c>
    </row>
    <row customHeight="1" ht="17" r="104" spans="1:18">
      <c r="A104" s="12" t="n">
        <v>8</v>
      </c>
      <c r="B104" s="12" t="s">
        <v>512</v>
      </c>
      <c r="C104" s="12" t="s">
        <v>583</v>
      </c>
      <c r="D104" s="12" t="n">
        <v>276</v>
      </c>
      <c r="E104" s="12" t="s">
        <v>613</v>
      </c>
      <c r="G104" s="12" t="n">
        <v>1</v>
      </c>
      <c r="H104" s="12" t="s">
        <v>614</v>
      </c>
      <c r="I104" s="2" t="s">
        <v>615</v>
      </c>
      <c r="J104" s="12" t="s">
        <v>616</v>
      </c>
      <c r="K104" s="5" t="n"/>
      <c r="M104" s="12" t="n"/>
      <c r="O104" s="5">
        <f>CONCATENATE(Tabell1[[#This Row],[OSM tag]],";",Tabell1[[#This Row],[tillegg]],";",Tabell1[[#This Row],[fixme]])</f>
        <v/>
      </c>
      <c r="P104" s="5" t="s">
        <v>553</v>
      </c>
    </row>
    <row customHeight="1" ht="34" r="105" spans="1:18">
      <c r="A105" s="12" t="n">
        <v>8</v>
      </c>
      <c r="B105" s="12" t="s">
        <v>512</v>
      </c>
      <c r="C105" s="12" t="s">
        <v>583</v>
      </c>
      <c r="D105" s="12" t="n">
        <v>277</v>
      </c>
      <c r="E105" s="12" t="s">
        <v>617</v>
      </c>
      <c r="G105" s="12" t="n">
        <v>1</v>
      </c>
      <c r="H105" s="12" t="s">
        <v>618</v>
      </c>
      <c r="I105" s="2" t="s">
        <v>619</v>
      </c>
      <c r="J105" s="12" t="s">
        <v>620</v>
      </c>
      <c r="K105" s="5" t="n"/>
      <c r="O105" s="5">
        <f>CONCATENATE(Tabell1[[#This Row],[OSM tag]],";",Tabell1[[#This Row],[tillegg]],";",Tabell1[[#This Row],[fixme]])</f>
        <v/>
      </c>
      <c r="P105" s="5" t="s">
        <v>553</v>
      </c>
    </row>
    <row customHeight="1" ht="17" r="106" spans="1:18">
      <c r="B106" s="12" t="s">
        <v>512</v>
      </c>
      <c r="C106" s="12" t="s">
        <v>583</v>
      </c>
      <c r="E106" s="12" t="s">
        <v>621</v>
      </c>
      <c r="I106" s="2" t="s">
        <v>622</v>
      </c>
      <c r="J106" s="12" t="n"/>
      <c r="K106" s="5" t="n"/>
      <c r="L106" s="9" t="n"/>
      <c r="O106" s="5">
        <f>CONCATENATE(Tabell1[[#This Row],[OSM tag]],";",Tabell1[[#This Row],[tillegg]],";",Tabell1[[#This Row],[fixme]])</f>
        <v/>
      </c>
      <c r="P106" s="5" t="s">
        <v>553</v>
      </c>
    </row>
    <row customHeight="1" ht="17" r="107" spans="1:18">
      <c r="B107" s="12" t="s">
        <v>512</v>
      </c>
      <c r="C107" s="12" t="s">
        <v>583</v>
      </c>
      <c r="E107" s="7" t="s">
        <v>623</v>
      </c>
      <c r="I107" s="2" t="s">
        <v>624</v>
      </c>
      <c r="J107" s="12" t="n"/>
      <c r="K107" s="5" t="n"/>
      <c r="O107" s="5">
        <f>CONCATENATE(Tabell1[[#This Row],[OSM tag]],";",Tabell1[[#This Row],[tillegg]],";",Tabell1[[#This Row],[fixme]])</f>
        <v/>
      </c>
      <c r="P107" s="5" t="s">
        <v>553</v>
      </c>
    </row>
    <row customHeight="1" ht="34" r="108" spans="1:18">
      <c r="A108" s="12" t="n">
        <v>6</v>
      </c>
      <c r="B108" s="12" t="s">
        <v>512</v>
      </c>
      <c r="C108" s="12" t="s">
        <v>625</v>
      </c>
      <c r="D108" s="12" t="n">
        <v>146</v>
      </c>
      <c r="E108" s="12" t="s">
        <v>626</v>
      </c>
      <c r="F108" t="n">
        <v>8862</v>
      </c>
      <c r="G108" s="12" t="n">
        <v>10197</v>
      </c>
      <c r="H108" s="12" t="s">
        <v>627</v>
      </c>
      <c r="I108" s="2" t="s">
        <v>628</v>
      </c>
      <c r="J108" s="12" t="s">
        <v>629</v>
      </c>
      <c r="K108" s="1" t="s">
        <v>630</v>
      </c>
      <c r="L108" s="5" t="s">
        <v>631</v>
      </c>
      <c r="O108" s="5">
        <f>CONCATENATE(Tabell1[[#This Row],[OSM tag]],";",Tabell1[[#This Row],[tillegg]],";",Tabell1[[#This Row],[fixme]])</f>
        <v/>
      </c>
      <c r="P108" s="5" t="s">
        <v>632</v>
      </c>
    </row>
    <row customHeight="1" ht="34" r="109" spans="1:18">
      <c r="A109" s="12" t="n">
        <v>6</v>
      </c>
      <c r="B109" s="12" t="s">
        <v>512</v>
      </c>
      <c r="C109" s="12" t="s">
        <v>625</v>
      </c>
      <c r="D109" s="12" t="n">
        <v>147</v>
      </c>
      <c r="E109" s="12" t="s">
        <v>633</v>
      </c>
      <c r="F109" t="n">
        <v>125</v>
      </c>
      <c r="G109" s="12" t="n">
        <v>118</v>
      </c>
      <c r="H109" s="12" t="s">
        <v>634</v>
      </c>
      <c r="I109" s="3" t="s">
        <v>635</v>
      </c>
      <c r="J109" s="12" t="s">
        <v>636</v>
      </c>
      <c r="K109" s="1" t="s"/>
      <c r="L109" s="5" t="s">
        <v>631</v>
      </c>
      <c r="O109" s="5">
        <f>CONCATENATE(Tabell1[[#This Row],[OSM tag]],";",Tabell1[[#This Row],[tillegg]],";",Tabell1[[#This Row],[fixme]])</f>
        <v/>
      </c>
    </row>
    <row customHeight="1" ht="34" r="110" spans="1:18">
      <c r="A110" s="12" t="n">
        <v>6</v>
      </c>
      <c r="B110" s="12" t="s">
        <v>512</v>
      </c>
      <c r="C110" s="12" t="s">
        <v>625</v>
      </c>
      <c r="D110" s="12" t="n">
        <v>148</v>
      </c>
      <c r="E110" s="7" t="s">
        <v>637</v>
      </c>
      <c r="F110" t="n">
        <v>1098</v>
      </c>
      <c r="G110" s="12" t="n">
        <v>1216</v>
      </c>
      <c r="H110" s="12" t="s">
        <v>638</v>
      </c>
      <c r="I110" s="2" t="s">
        <v>639</v>
      </c>
      <c r="J110" s="14" t="s">
        <v>640</v>
      </c>
      <c r="K110" s="1" t="s">
        <v>641</v>
      </c>
      <c r="L110" s="5" t="s">
        <v>642</v>
      </c>
      <c r="O110" s="5">
        <f>CONCATENATE(Tabell1[[#This Row],[OSM tag]],";",Tabell1[[#This Row],[tillegg]],";",Tabell1[[#This Row],[fixme]])</f>
        <v/>
      </c>
    </row>
    <row customHeight="1" ht="17" r="111" spans="1:18">
      <c r="A111" s="12" t="n">
        <v>6</v>
      </c>
      <c r="B111" s="12" t="s">
        <v>512</v>
      </c>
      <c r="C111" s="12" t="s">
        <v>625</v>
      </c>
      <c r="D111" s="12" t="n">
        <v>150</v>
      </c>
      <c r="E111" s="7" t="s">
        <v>643</v>
      </c>
      <c r="F111" t="n">
        <v>11</v>
      </c>
      <c r="G111" s="12" t="n">
        <v>11</v>
      </c>
      <c r="H111" s="12" t="s">
        <v>644</v>
      </c>
      <c r="I111" s="2" t="s">
        <v>645</v>
      </c>
      <c r="J111" s="14" t="s">
        <v>646</v>
      </c>
      <c r="K111" s="1" t="s"/>
      <c r="L111" s="5" t="s">
        <v>647</v>
      </c>
      <c r="M111" s="12" t="s">
        <v>90</v>
      </c>
      <c r="O111" s="5">
        <f>CONCATENATE(Tabell1[[#This Row],[OSM tag]],";",Tabell1[[#This Row],[tillegg]],";",Tabell1[[#This Row],[fixme]])</f>
        <v/>
      </c>
    </row>
    <row customHeight="1" ht="17" r="112" spans="1:18">
      <c r="A112" s="12" t="n">
        <v>6</v>
      </c>
      <c r="B112" s="12" t="s">
        <v>512</v>
      </c>
      <c r="C112" s="12" t="s">
        <v>625</v>
      </c>
      <c r="D112" s="12" t="n">
        <v>151</v>
      </c>
      <c r="E112" s="12" t="s">
        <v>648</v>
      </c>
      <c r="G112" s="12" t="n">
        <v>44</v>
      </c>
      <c r="H112" s="12" t="s">
        <v>649</v>
      </c>
      <c r="I112" s="2" t="s">
        <v>650</v>
      </c>
      <c r="J112" s="14" t="s">
        <v>651</v>
      </c>
      <c r="K112" s="5" t="n"/>
      <c r="L112" s="5" t="s">
        <v>652</v>
      </c>
      <c r="O112" s="5">
        <f>CONCATENATE(Tabell1[[#This Row],[OSM tag]],";",Tabell1[[#This Row],[tillegg]],";",Tabell1[[#This Row],[fixme]])</f>
        <v/>
      </c>
    </row>
    <row customHeight="1" ht="17" r="113" spans="1:18">
      <c r="A113" s="12" t="n">
        <v>8</v>
      </c>
      <c r="B113" s="12" t="s">
        <v>512</v>
      </c>
      <c r="C113" s="12" t="s">
        <v>625</v>
      </c>
      <c r="D113" s="12" t="n">
        <v>193</v>
      </c>
      <c r="E113" s="12" t="s">
        <v>653</v>
      </c>
      <c r="G113" s="12" t="n">
        <v>4</v>
      </c>
      <c r="H113" s="12" t="s">
        <v>654</v>
      </c>
      <c r="I113" s="2" t="s">
        <v>655</v>
      </c>
      <c r="J113" s="12" t="s">
        <v>656</v>
      </c>
      <c r="K113" s="5" t="n"/>
      <c r="L113" s="5" t="s">
        <v>657</v>
      </c>
      <c r="O113" s="5">
        <f>CONCATENATE(Tabell1[[#This Row],[OSM tag]],";",Tabell1[[#This Row],[tillegg]],";",Tabell1[[#This Row],[fixme]])</f>
        <v/>
      </c>
    </row>
    <row customHeight="1" ht="17" r="114" spans="1:18">
      <c r="A114" s="12" t="n">
        <v>5</v>
      </c>
      <c r="B114" s="12" t="s">
        <v>512</v>
      </c>
      <c r="C114" s="12" t="s">
        <v>625</v>
      </c>
      <c r="D114" s="12" t="n">
        <v>252</v>
      </c>
      <c r="E114" s="12" t="s">
        <v>658</v>
      </c>
      <c r="G114" s="12" t="n">
        <v>3</v>
      </c>
      <c r="H114" s="12" t="s">
        <v>659</v>
      </c>
      <c r="I114" s="2" t="s">
        <v>660</v>
      </c>
      <c r="J114" s="12" t="s">
        <v>661</v>
      </c>
      <c r="K114" s="5" t="n"/>
      <c r="L114" s="5" t="s">
        <v>662</v>
      </c>
      <c r="M114" s="12" t="n"/>
      <c r="O114" s="5">
        <f>CONCATENATE(Tabell1[[#This Row],[OSM tag]],";",Tabell1[[#This Row],[tillegg]],";",Tabell1[[#This Row],[fixme]])</f>
        <v/>
      </c>
    </row>
    <row customHeight="1" ht="34" r="115" spans="1:18">
      <c r="A115" s="12" t="n">
        <v>6</v>
      </c>
      <c r="B115" s="12" t="s">
        <v>512</v>
      </c>
      <c r="C115" s="12" t="s">
        <v>625</v>
      </c>
      <c r="D115" s="12" t="n">
        <v>278</v>
      </c>
      <c r="E115" s="12" t="s">
        <v>663</v>
      </c>
      <c r="G115" s="12" t="n">
        <v>1</v>
      </c>
      <c r="H115" s="12" t="s">
        <v>664</v>
      </c>
      <c r="I115" s="2" t="s">
        <v>665</v>
      </c>
      <c r="J115" s="12" t="s">
        <v>666</v>
      </c>
      <c r="K115" s="5" t="n"/>
      <c r="L115" s="5" t="s">
        <v>667</v>
      </c>
      <c r="O115" s="5">
        <f>CONCATENATE(Tabell1[[#This Row],[OSM tag]],";",Tabell1[[#This Row],[tillegg]],";",Tabell1[[#This Row],[fixme]])</f>
        <v/>
      </c>
    </row>
    <row customHeight="1" ht="17" r="116" spans="1:18">
      <c r="B116" s="12" t="s">
        <v>512</v>
      </c>
      <c r="C116" s="12" t="s">
        <v>625</v>
      </c>
      <c r="E116" s="7" t="s">
        <v>668</v>
      </c>
      <c r="I116" s="2" t="s">
        <v>669</v>
      </c>
      <c r="J116" s="12" t="n"/>
      <c r="K116" s="5" t="n"/>
      <c r="L116" s="5" t="s">
        <v>670</v>
      </c>
      <c r="O116" s="5">
        <f>CONCATENATE(Tabell1[[#This Row],[OSM tag]],";",Tabell1[[#This Row],[tillegg]],";",Tabell1[[#This Row],[fixme]])</f>
        <v/>
      </c>
    </row>
    <row customHeight="1" ht="34" r="117" spans="1:18">
      <c r="A117" s="12" t="n">
        <v>6</v>
      </c>
      <c r="B117" s="12" t="s">
        <v>512</v>
      </c>
      <c r="C117" s="12" t="s">
        <v>671</v>
      </c>
      <c r="D117" s="12" t="n">
        <v>144</v>
      </c>
      <c r="E117" s="12" t="s">
        <v>672</v>
      </c>
      <c r="G117" s="12" t="n">
        <v>90</v>
      </c>
      <c r="H117" s="12" t="s">
        <v>673</v>
      </c>
      <c r="I117" s="2" t="s">
        <v>674</v>
      </c>
      <c r="J117" s="12" t="s">
        <v>675</v>
      </c>
      <c r="K117" s="5" t="n"/>
      <c r="M117" s="5" t="s">
        <v>90</v>
      </c>
      <c r="O117" s="5">
        <f>CONCATENATE(Tabell1[[#This Row],[OSM tag]],";",Tabell1[[#This Row],[tillegg]],";",Tabell1[[#This Row],[fixme]])</f>
        <v/>
      </c>
    </row>
    <row customHeight="1" ht="17" r="118" spans="1:18">
      <c r="A118" s="12" t="n">
        <v>6</v>
      </c>
      <c r="B118" s="12" t="s">
        <v>512</v>
      </c>
      <c r="C118" s="12" t="s">
        <v>671</v>
      </c>
      <c r="D118" s="12" t="n">
        <v>145</v>
      </c>
      <c r="E118" s="7" t="s">
        <v>676</v>
      </c>
      <c r="G118" s="12" t="n">
        <v>1</v>
      </c>
      <c r="H118" s="12" t="s">
        <v>677</v>
      </c>
      <c r="I118" s="2" t="s">
        <v>678</v>
      </c>
      <c r="J118" s="12" t="s">
        <v>679</v>
      </c>
      <c r="K118" s="5" t="n"/>
      <c r="M118" s="12" t="s">
        <v>90</v>
      </c>
      <c r="O118" s="5">
        <f>CONCATENATE(Tabell1[[#This Row],[OSM tag]],";",Tabell1[[#This Row],[tillegg]],";",Tabell1[[#This Row],[fixme]])</f>
        <v/>
      </c>
      <c r="P118" s="5" t="s">
        <v>680</v>
      </c>
    </row>
    <row customHeight="1" ht="17" r="119" spans="1:18">
      <c r="A119" s="12" t="n">
        <v>6</v>
      </c>
      <c r="B119" s="12" t="s">
        <v>512</v>
      </c>
      <c r="C119" s="12" t="s">
        <v>671</v>
      </c>
      <c r="D119" s="12" t="n">
        <v>154</v>
      </c>
      <c r="E119" s="12" t="s">
        <v>681</v>
      </c>
      <c r="F119" t="n">
        <v>449</v>
      </c>
      <c r="G119" s="12" t="n">
        <v>341</v>
      </c>
      <c r="H119" s="12" t="s">
        <v>682</v>
      </c>
      <c r="I119" s="2" t="s">
        <v>683</v>
      </c>
      <c r="J119" s="14" t="s">
        <v>684</v>
      </c>
      <c r="K119" s="1" t="s">
        <v>685</v>
      </c>
      <c r="L119" s="5" t="s">
        <v>686</v>
      </c>
      <c r="M119" s="12" t="s">
        <v>90</v>
      </c>
      <c r="O119" s="5">
        <f>CONCATENATE(Tabell1[[#This Row],[OSM tag]],";",Tabell1[[#This Row],[tillegg]],";",Tabell1[[#This Row],[fixme]])</f>
        <v/>
      </c>
      <c r="P119" s="5" t="s">
        <v>687</v>
      </c>
    </row>
    <row customHeight="1" ht="17" r="120" spans="1:18">
      <c r="A120" s="12" t="n">
        <v>6</v>
      </c>
      <c r="B120" s="12" t="s">
        <v>512</v>
      </c>
      <c r="C120" s="12" t="s">
        <v>671</v>
      </c>
      <c r="D120" s="12" t="n">
        <v>155</v>
      </c>
      <c r="E120" s="7" t="s">
        <v>688</v>
      </c>
      <c r="F120" t="n">
        <v>460</v>
      </c>
      <c r="G120" s="12" t="n">
        <v>407</v>
      </c>
      <c r="H120" s="12" t="s">
        <v>689</v>
      </c>
      <c r="I120" s="2" t="s">
        <v>690</v>
      </c>
      <c r="J120" s="14" t="s">
        <v>691</v>
      </c>
      <c r="K120" s="1" t="s">
        <v>692</v>
      </c>
      <c r="L120" s="5" t="s">
        <v>686</v>
      </c>
      <c r="M120" s="12" t="s">
        <v>90</v>
      </c>
      <c r="O120" s="5">
        <f>CONCATENATE(Tabell1[[#This Row],[OSM tag]],";",Tabell1[[#This Row],[tillegg]],";",Tabell1[[#This Row],[fixme]])</f>
        <v/>
      </c>
      <c r="P120" s="5" t="s">
        <v>687</v>
      </c>
    </row>
    <row customHeight="1" ht="17" r="121" spans="1:18">
      <c r="A121" s="12" t="n">
        <v>6</v>
      </c>
      <c r="B121" s="12" t="s">
        <v>512</v>
      </c>
      <c r="C121" s="12" t="s">
        <v>671</v>
      </c>
      <c r="D121" s="12" t="n">
        <v>156</v>
      </c>
      <c r="E121" s="12" t="s">
        <v>693</v>
      </c>
      <c r="G121" s="12" t="n">
        <v>160</v>
      </c>
      <c r="H121" s="12" t="s">
        <v>694</v>
      </c>
      <c r="I121" s="2" t="s">
        <v>695</v>
      </c>
      <c r="J121" s="14" t="s">
        <v>696</v>
      </c>
      <c r="K121" s="5" t="n"/>
      <c r="L121" s="5" t="s">
        <v>697</v>
      </c>
      <c r="O121" s="5">
        <f>CONCATENATE(Tabell1[[#This Row],[OSM tag]],";",Tabell1[[#This Row],[tillegg]],";",Tabell1[[#This Row],[fixme]])</f>
        <v/>
      </c>
    </row>
    <row customHeight="1" ht="17" r="122" spans="1:18">
      <c r="A122" s="12" t="n">
        <v>6</v>
      </c>
      <c r="B122" s="12" t="s">
        <v>512</v>
      </c>
      <c r="C122" s="12" t="s">
        <v>671</v>
      </c>
      <c r="D122" s="12" t="n">
        <v>157</v>
      </c>
      <c r="E122" s="7" t="s">
        <v>698</v>
      </c>
      <c r="G122" s="12" t="n">
        <v>5</v>
      </c>
      <c r="H122" s="12" t="s">
        <v>699</v>
      </c>
      <c r="I122" s="2" t="s">
        <v>700</v>
      </c>
      <c r="J122" s="14" t="s">
        <v>701</v>
      </c>
      <c r="K122" s="5" t="n"/>
      <c r="L122" s="5" t="s">
        <v>702</v>
      </c>
      <c r="M122" s="12" t="s">
        <v>90</v>
      </c>
      <c r="O122" s="5">
        <f>CONCATENATE(Tabell1[[#This Row],[OSM tag]],";",Tabell1[[#This Row],[tillegg]],";",Tabell1[[#This Row],[fixme]])</f>
        <v/>
      </c>
    </row>
    <row customHeight="1" ht="17" r="123" spans="1:18">
      <c r="A123" s="12" t="n">
        <v>6</v>
      </c>
      <c r="B123" s="12" t="s">
        <v>512</v>
      </c>
      <c r="C123" s="12" t="s">
        <v>671</v>
      </c>
      <c r="D123" s="12" t="n">
        <v>158</v>
      </c>
      <c r="E123" s="12" t="s">
        <v>703</v>
      </c>
      <c r="G123" s="12" t="n">
        <v>12</v>
      </c>
      <c r="H123" s="12" t="s">
        <v>704</v>
      </c>
      <c r="I123" s="2" t="s">
        <v>705</v>
      </c>
      <c r="J123" s="14" t="s">
        <v>706</v>
      </c>
      <c r="K123" s="5" t="n"/>
      <c r="L123" s="5" t="s">
        <v>707</v>
      </c>
      <c r="O123" s="5">
        <f>CONCATENATE(Tabell1[[#This Row],[OSM tag]],";",Tabell1[[#This Row],[tillegg]],";",Tabell1[[#This Row],[fixme]])</f>
        <v/>
      </c>
    </row>
    <row customHeight="1" ht="17" r="124" spans="1:18">
      <c r="A124" s="12" t="n">
        <v>6</v>
      </c>
      <c r="B124" s="12" t="s">
        <v>512</v>
      </c>
      <c r="C124" s="12" t="s">
        <v>671</v>
      </c>
      <c r="D124" s="12" t="n">
        <v>159</v>
      </c>
      <c r="E124" s="12" t="s">
        <v>708</v>
      </c>
      <c r="F124" t="n">
        <v>69</v>
      </c>
      <c r="G124" s="12" t="n">
        <v>64</v>
      </c>
      <c r="H124" s="12" t="s">
        <v>709</v>
      </c>
      <c r="I124" s="2" t="s">
        <v>710</v>
      </c>
      <c r="J124" s="14" t="s">
        <v>711</v>
      </c>
      <c r="K124" s="1" t="s">
        <v>712</v>
      </c>
      <c r="L124" s="5" t="s">
        <v>713</v>
      </c>
      <c r="O124" s="5">
        <f>CONCATENATE(Tabell1[[#This Row],[OSM tag]],";",Tabell1[[#This Row],[tillegg]],";",Tabell1[[#This Row],[fixme]])</f>
        <v/>
      </c>
    </row>
    <row customHeight="1" ht="17" r="125" spans="1:18">
      <c r="A125" s="12" t="n">
        <v>6</v>
      </c>
      <c r="B125" s="12" t="s">
        <v>512</v>
      </c>
      <c r="C125" s="12" t="s">
        <v>671</v>
      </c>
      <c r="D125" s="12" t="n">
        <v>160</v>
      </c>
      <c r="E125" s="12" t="s">
        <v>714</v>
      </c>
      <c r="G125" s="12" t="n">
        <v>35</v>
      </c>
      <c r="H125" s="12" t="s">
        <v>715</v>
      </c>
      <c r="I125" s="2" t="s">
        <v>716</v>
      </c>
      <c r="J125" s="14" t="s">
        <v>717</v>
      </c>
      <c r="K125" s="5" t="n"/>
      <c r="M125" s="12" t="s">
        <v>90</v>
      </c>
      <c r="O125" s="5">
        <f>CONCATENATE(Tabell1[[#This Row],[OSM tag]],";",Tabell1[[#This Row],[tillegg]],";",Tabell1[[#This Row],[fixme]])</f>
        <v/>
      </c>
    </row>
    <row customHeight="1" ht="17" r="126" spans="1:18">
      <c r="A126" s="12" t="n">
        <v>8</v>
      </c>
      <c r="B126" s="12" t="s">
        <v>512</v>
      </c>
      <c r="C126" s="12" t="s">
        <v>671</v>
      </c>
      <c r="D126" s="12" t="n">
        <v>195</v>
      </c>
      <c r="E126" s="12" t="s">
        <v>718</v>
      </c>
      <c r="F126" t="n">
        <v>85</v>
      </c>
      <c r="G126" s="12" t="n">
        <v>65</v>
      </c>
      <c r="H126" s="12" t="s">
        <v>719</v>
      </c>
      <c r="I126" s="2" t="s">
        <v>720</v>
      </c>
      <c r="J126" s="12" t="s">
        <v>721</v>
      </c>
      <c r="K126" s="1" t="s">
        <v>722</v>
      </c>
      <c r="L126" s="5" t="s">
        <v>723</v>
      </c>
      <c r="O126" s="5">
        <f>CONCATENATE(Tabell1[[#This Row],[OSM tag]],";",Tabell1[[#This Row],[tillegg]],";",Tabell1[[#This Row],[fixme]])</f>
        <v/>
      </c>
      <c r="P126" s="5" t="s">
        <v>724</v>
      </c>
    </row>
    <row customHeight="1" ht="17" r="127" spans="1:18">
      <c r="A127" s="12" t="n">
        <v>6</v>
      </c>
      <c r="B127" s="12" t="s">
        <v>512</v>
      </c>
      <c r="C127" s="12" t="s">
        <v>671</v>
      </c>
      <c r="D127" s="12" t="n">
        <v>221</v>
      </c>
      <c r="E127" s="12" t="s">
        <v>725</v>
      </c>
      <c r="F127" t="n">
        <v>246</v>
      </c>
      <c r="G127" s="12" t="n">
        <v>188</v>
      </c>
      <c r="H127" s="12" t="s">
        <v>726</v>
      </c>
      <c r="I127" s="2" t="s">
        <v>727</v>
      </c>
      <c r="J127" s="12" t="s">
        <v>728</v>
      </c>
      <c r="K127" s="1" t="s">
        <v>729</v>
      </c>
      <c r="L127" s="5" t="s">
        <v>730</v>
      </c>
      <c r="M127" s="12" t="n"/>
      <c r="O127" s="5">
        <f>CONCATENATE(Tabell1[[#This Row],[OSM tag]],";",Tabell1[[#This Row],[tillegg]],";",Tabell1[[#This Row],[fixme]])</f>
        <v/>
      </c>
    </row>
    <row customHeight="1" ht="34" r="128" spans="1:18">
      <c r="A128" s="12" t="n">
        <v>8</v>
      </c>
      <c r="B128" s="12" t="s">
        <v>512</v>
      </c>
      <c r="C128" s="12" t="s">
        <v>671</v>
      </c>
      <c r="D128" s="12" t="n">
        <v>234</v>
      </c>
      <c r="E128" s="12" t="s">
        <v>731</v>
      </c>
      <c r="F128" t="n">
        <v>495</v>
      </c>
      <c r="G128" s="12" t="n">
        <v>400</v>
      </c>
      <c r="H128" s="12" t="s">
        <v>732</v>
      </c>
      <c r="I128" s="2" t="s">
        <v>733</v>
      </c>
      <c r="J128" s="12" t="s">
        <v>734</v>
      </c>
      <c r="K128" s="1" t="s">
        <v>735</v>
      </c>
      <c r="L128" s="5" t="s">
        <v>736</v>
      </c>
      <c r="M128" s="12" t="s">
        <v>90</v>
      </c>
      <c r="N128" s="5" t="s">
        <v>737</v>
      </c>
      <c r="O128" s="5">
        <f>CONCATENATE(Tabell1[[#This Row],[OSM tag]],";",Tabell1[[#This Row],[tillegg]],";",Tabell1[[#This Row],[fixme]])</f>
        <v/>
      </c>
      <c r="P128" s="5" t="s">
        <v>738</v>
      </c>
    </row>
    <row customHeight="1" ht="17" r="129" spans="1:18">
      <c r="A129" s="12" t="n">
        <v>6</v>
      </c>
      <c r="B129" s="12" t="s">
        <v>512</v>
      </c>
      <c r="C129" s="12" t="s">
        <v>671</v>
      </c>
      <c r="D129" s="12" t="n">
        <v>236</v>
      </c>
      <c r="E129" s="12" t="s">
        <v>739</v>
      </c>
      <c r="G129" s="12" t="n">
        <v>36</v>
      </c>
      <c r="H129" s="12" t="s">
        <v>740</v>
      </c>
      <c r="I129" s="2" t="s">
        <v>741</v>
      </c>
      <c r="J129" s="12" t="s">
        <v>742</v>
      </c>
      <c r="K129" s="5" t="n"/>
      <c r="L129" s="9" t="s">
        <v>743</v>
      </c>
      <c r="M129" s="12" t="s">
        <v>90</v>
      </c>
      <c r="O129" s="5">
        <f>CONCATENATE(Tabell1[[#This Row],[OSM tag]],";",Tabell1[[#This Row],[tillegg]],";",Tabell1[[#This Row],[fixme]])</f>
        <v/>
      </c>
      <c r="P129" s="5" t="s">
        <v>744</v>
      </c>
    </row>
    <row customHeight="1" ht="34" r="130" spans="1:18">
      <c r="A130" s="12" t="n">
        <v>6</v>
      </c>
      <c r="B130" s="12" t="s">
        <v>512</v>
      </c>
      <c r="C130" s="12" t="s">
        <v>745</v>
      </c>
      <c r="D130" s="12" t="n">
        <v>140</v>
      </c>
      <c r="E130" s="12" t="s">
        <v>746</v>
      </c>
      <c r="F130" t="n">
        <v>6736</v>
      </c>
      <c r="G130" s="12" t="n">
        <v>24621</v>
      </c>
      <c r="H130" s="12" t="s">
        <v>747</v>
      </c>
      <c r="I130" s="2" t="s">
        <v>748</v>
      </c>
      <c r="J130" s="12" t="s">
        <v>749</v>
      </c>
      <c r="K130" s="1" t="s">
        <v>750</v>
      </c>
      <c r="O130" s="5">
        <f>CONCATENATE(Tabell1[[#This Row],[OSM tag]],";",Tabell1[[#This Row],[tillegg]],";",Tabell1[[#This Row],[fixme]])</f>
        <v/>
      </c>
      <c r="P130" s="5" t="s">
        <v>751</v>
      </c>
    </row>
    <row customHeight="1" ht="34" r="131" spans="1:18">
      <c r="A131" s="12" t="n">
        <v>6</v>
      </c>
      <c r="B131" s="12" t="s">
        <v>512</v>
      </c>
      <c r="C131" s="12" t="s">
        <v>745</v>
      </c>
      <c r="D131" s="12" t="n">
        <v>142</v>
      </c>
      <c r="E131" s="7" t="s">
        <v>752</v>
      </c>
      <c r="F131" t="n">
        <v>807</v>
      </c>
      <c r="G131" s="12" t="n">
        <v>729</v>
      </c>
      <c r="H131" s="12" t="s">
        <v>753</v>
      </c>
      <c r="I131" s="2" t="s">
        <v>754</v>
      </c>
      <c r="J131" s="12" t="s">
        <v>755</v>
      </c>
      <c r="K131" s="1" t="s">
        <v>756</v>
      </c>
      <c r="L131" s="9" t="s">
        <v>757</v>
      </c>
      <c r="N131" s="5" t="s">
        <v>758</v>
      </c>
      <c r="O131" s="5">
        <f>CONCATENATE(Tabell1[[#This Row],[OSM tag]],";",Tabell1[[#This Row],[tillegg]],";",Tabell1[[#This Row],[fixme]])</f>
        <v/>
      </c>
    </row>
    <row customHeight="1" ht="17" r="132" spans="1:18">
      <c r="A132" s="12" t="n">
        <v>6</v>
      </c>
      <c r="B132" s="12" t="s">
        <v>512</v>
      </c>
      <c r="C132" s="12" t="s">
        <v>745</v>
      </c>
      <c r="D132" s="12" t="n">
        <v>143</v>
      </c>
      <c r="E132" s="7" t="s">
        <v>759</v>
      </c>
      <c r="F132" t="n">
        <v>4549</v>
      </c>
      <c r="G132" s="12" t="n">
        <v>4064</v>
      </c>
      <c r="H132" s="12" t="s">
        <v>760</v>
      </c>
      <c r="I132" s="2" t="s">
        <v>761</v>
      </c>
      <c r="J132" s="12" t="s">
        <v>762</v>
      </c>
      <c r="K132" s="1" t="s">
        <v>763</v>
      </c>
      <c r="L132" s="9" t="s">
        <v>764</v>
      </c>
      <c r="O132" s="5">
        <f>CONCATENATE(Tabell1[[#This Row],[OSM tag]],";",Tabell1[[#This Row],[tillegg]],";",Tabell1[[#This Row],[fixme]])</f>
        <v/>
      </c>
    </row>
    <row customHeight="1" ht="17" r="133" spans="1:18">
      <c r="A133" s="12" t="n">
        <v>6</v>
      </c>
      <c r="B133" s="12" t="s">
        <v>512</v>
      </c>
      <c r="C133" s="12" t="s">
        <v>745</v>
      </c>
      <c r="D133" s="12" t="n">
        <v>149</v>
      </c>
      <c r="E133" s="7" t="s">
        <v>765</v>
      </c>
      <c r="F133" t="n">
        <v>737</v>
      </c>
      <c r="G133" s="12" t="n">
        <v>673</v>
      </c>
      <c r="H133" s="12" t="s">
        <v>766</v>
      </c>
      <c r="I133" s="2" t="s">
        <v>767</v>
      </c>
      <c r="J133" s="15" t="s">
        <v>768</v>
      </c>
      <c r="K133" s="1" t="s">
        <v>769</v>
      </c>
      <c r="L133" s="2" t="s">
        <v>770</v>
      </c>
      <c r="M133" s="12" t="s">
        <v>90</v>
      </c>
      <c r="O133" s="5">
        <f>CONCATENATE(Tabell1[[#This Row],[OSM tag]],";",Tabell1[[#This Row],[tillegg]],";",Tabell1[[#This Row],[fixme]])</f>
        <v/>
      </c>
    </row>
    <row customHeight="1" ht="17" r="134" spans="1:18">
      <c r="A134" s="12" t="n">
        <v>6</v>
      </c>
      <c r="B134" s="12" t="s">
        <v>512</v>
      </c>
      <c r="C134" s="12" t="s">
        <v>745</v>
      </c>
      <c r="D134" s="12" t="n">
        <v>152</v>
      </c>
      <c r="E134" s="12" t="s">
        <v>771</v>
      </c>
      <c r="F134" t="n">
        <v>85</v>
      </c>
      <c r="G134" s="12" t="n">
        <v>70</v>
      </c>
      <c r="H134" s="12" t="s">
        <v>772</v>
      </c>
      <c r="I134" s="2" t="s">
        <v>773</v>
      </c>
      <c r="J134" s="14" t="s">
        <v>774</v>
      </c>
      <c r="K134" s="1" t="s"/>
      <c r="L134" s="9" t="n"/>
      <c r="M134" s="12" t="s">
        <v>90</v>
      </c>
      <c r="O134" s="5">
        <f>CONCATENATE(Tabell1[[#This Row],[OSM tag]],";",Tabell1[[#This Row],[tillegg]],";",Tabell1[[#This Row],[fixme]])</f>
        <v/>
      </c>
      <c r="P134" s="5" t="s">
        <v>775</v>
      </c>
    </row>
    <row customHeight="1" ht="17" r="135" spans="1:18">
      <c r="A135" s="12" t="n">
        <v>6</v>
      </c>
      <c r="B135" s="12" t="s">
        <v>512</v>
      </c>
      <c r="C135" s="12" t="s">
        <v>745</v>
      </c>
      <c r="D135" s="12" t="n">
        <v>153</v>
      </c>
      <c r="E135" s="12" t="s">
        <v>776</v>
      </c>
      <c r="G135" s="12" t="n">
        <v>18</v>
      </c>
      <c r="H135" s="12" t="s">
        <v>777</v>
      </c>
      <c r="I135" s="2" t="s">
        <v>778</v>
      </c>
      <c r="J135" s="14" t="s">
        <v>779</v>
      </c>
      <c r="K135" s="5" t="n"/>
      <c r="L135" s="5" t="s">
        <v>662</v>
      </c>
      <c r="O135" s="5">
        <f>CONCATENATE(Tabell1[[#This Row],[OSM tag]],";",Tabell1[[#This Row],[tillegg]],";",Tabell1[[#This Row],[fixme]])</f>
        <v/>
      </c>
    </row>
    <row customHeight="1" ht="17" r="136" spans="1:18">
      <c r="A136" s="12" t="n">
        <v>6</v>
      </c>
      <c r="B136" s="12" t="s">
        <v>512</v>
      </c>
      <c r="C136" s="12" t="s">
        <v>745</v>
      </c>
      <c r="D136" s="12" t="n">
        <v>163</v>
      </c>
      <c r="E136" s="12" t="s">
        <v>780</v>
      </c>
      <c r="G136" s="12" t="n">
        <v>185</v>
      </c>
      <c r="H136" s="12" t="s">
        <v>781</v>
      </c>
      <c r="I136" s="2" t="s">
        <v>782</v>
      </c>
      <c r="J136" s="12" t="s">
        <v>783</v>
      </c>
      <c r="K136" s="5" t="n"/>
      <c r="L136" s="5" t="s">
        <v>784</v>
      </c>
      <c r="O136" s="5">
        <f>CONCATENATE(Tabell1[[#This Row],[OSM tag]],";",Tabell1[[#This Row],[tillegg]],";",Tabell1[[#This Row],[fixme]])</f>
        <v/>
      </c>
    </row>
    <row customHeight="1" ht="34" r="137" spans="1:18">
      <c r="A137" s="12" t="n">
        <v>6</v>
      </c>
      <c r="B137" s="12" t="s">
        <v>512</v>
      </c>
      <c r="C137" s="12" t="s">
        <v>745</v>
      </c>
      <c r="D137" s="12" t="n">
        <v>220</v>
      </c>
      <c r="E137" s="7" t="s">
        <v>785</v>
      </c>
      <c r="F137" t="n">
        <v>921</v>
      </c>
      <c r="G137" s="12" t="n">
        <v>788</v>
      </c>
      <c r="H137" s="12" t="s">
        <v>786</v>
      </c>
      <c r="I137" s="2" t="s">
        <v>787</v>
      </c>
      <c r="J137" s="12" t="s">
        <v>788</v>
      </c>
      <c r="K137" s="1" t="s">
        <v>789</v>
      </c>
      <c r="L137" s="2" t="s">
        <v>790</v>
      </c>
      <c r="M137" s="12" t="s">
        <v>90</v>
      </c>
      <c r="O137" s="5">
        <f>CONCATENATE(Tabell1[[#This Row],[OSM tag]],";",Tabell1[[#This Row],[tillegg]],";",Tabell1[[#This Row],[fixme]])</f>
        <v/>
      </c>
      <c r="P137" s="5" t="s">
        <v>791</v>
      </c>
    </row>
    <row customHeight="1" ht="17" r="138" spans="1:18">
      <c r="A138" s="12" t="n">
        <v>3</v>
      </c>
      <c r="B138" s="12" t="s">
        <v>512</v>
      </c>
      <c r="C138" s="12" t="s">
        <v>745</v>
      </c>
      <c r="D138" s="12" t="n">
        <v>227</v>
      </c>
      <c r="E138" s="7" t="s">
        <v>792</v>
      </c>
      <c r="F138" t="n">
        <v>307</v>
      </c>
      <c r="G138" s="12" t="n">
        <v>261</v>
      </c>
      <c r="H138" s="12" t="s">
        <v>793</v>
      </c>
      <c r="I138" s="2" t="s">
        <v>794</v>
      </c>
      <c r="J138" s="12" t="s">
        <v>795</v>
      </c>
      <c r="K138" s="1" t="s"/>
      <c r="M138" s="12" t="s">
        <v>90</v>
      </c>
      <c r="O138" s="5">
        <f>CONCATENATE(Tabell1[[#This Row],[OSM tag]],";",Tabell1[[#This Row],[tillegg]],";",Tabell1[[#This Row],[fixme]])</f>
        <v/>
      </c>
    </row>
    <row customHeight="1" ht="51" r="139" spans="1:18">
      <c r="A139" s="12" t="n">
        <v>6</v>
      </c>
      <c r="B139" s="12" t="s">
        <v>512</v>
      </c>
      <c r="C139" s="12" t="s">
        <v>745</v>
      </c>
      <c r="D139" s="12" t="n">
        <v>240</v>
      </c>
      <c r="E139" s="7" t="s">
        <v>796</v>
      </c>
      <c r="F139" t="n">
        <v>1092</v>
      </c>
      <c r="G139" s="12" t="n">
        <v>792</v>
      </c>
      <c r="H139" s="12" t="s">
        <v>797</v>
      </c>
      <c r="I139" s="2" t="s">
        <v>798</v>
      </c>
      <c r="J139" s="12" t="s">
        <v>799</v>
      </c>
      <c r="K139" s="1" t="s"/>
      <c r="L139" s="9" t="n"/>
      <c r="O139" s="5">
        <f>CONCATENATE(Tabell1[[#This Row],[OSM tag]],";",Tabell1[[#This Row],[tillegg]],";",Tabell1[[#This Row],[fixme]])</f>
        <v/>
      </c>
      <c r="P139" s="5" t="s">
        <v>751</v>
      </c>
    </row>
    <row customHeight="1" ht="51" r="140" spans="1:18">
      <c r="A140" s="12" t="n">
        <v>6</v>
      </c>
      <c r="B140" s="12" t="s">
        <v>512</v>
      </c>
      <c r="C140" s="12" t="s">
        <v>745</v>
      </c>
      <c r="D140" s="12" t="n">
        <v>301</v>
      </c>
      <c r="E140" s="7" t="s">
        <v>800</v>
      </c>
      <c r="G140" s="12" t="n">
        <v>22</v>
      </c>
      <c r="H140" s="12" t="s">
        <v>801</v>
      </c>
      <c r="I140" s="2" t="s">
        <v>802</v>
      </c>
      <c r="J140" s="12" t="s">
        <v>803</v>
      </c>
      <c r="K140" s="5" t="n"/>
      <c r="O140" s="5">
        <f>CONCATENATE(Tabell1[[#This Row],[OSM tag]],";",Tabell1[[#This Row],[tillegg]],";",Tabell1[[#This Row],[fixme]])</f>
        <v/>
      </c>
      <c r="P140" s="5" t="s">
        <v>804</v>
      </c>
    </row>
    <row customHeight="1" ht="17" r="141" spans="1:18">
      <c r="A141" s="12" t="n">
        <v>6</v>
      </c>
      <c r="B141" s="12" t="s">
        <v>512</v>
      </c>
      <c r="C141" s="12" t="s">
        <v>745</v>
      </c>
      <c r="D141" s="12" t="n">
        <v>312</v>
      </c>
      <c r="E141" s="7" t="s">
        <v>805</v>
      </c>
      <c r="G141" s="12" t="n">
        <v>5</v>
      </c>
      <c r="H141" s="12" t="s">
        <v>806</v>
      </c>
      <c r="I141" s="2" t="s">
        <v>807</v>
      </c>
      <c r="J141" s="12" t="s">
        <v>808</v>
      </c>
      <c r="K141" s="5" t="n"/>
      <c r="M141" s="5" t="s">
        <v>90</v>
      </c>
      <c r="O141" s="5">
        <f>CONCATENATE(Tabell1[[#This Row],[OSM tag]],";",Tabell1[[#This Row],[tillegg]],";",Tabell1[[#This Row],[fixme]])</f>
        <v/>
      </c>
    </row>
    <row customHeight="1" ht="17" r="142" spans="1:18">
      <c r="A142" s="12" t="n">
        <v>6</v>
      </c>
      <c r="B142" s="12" t="s">
        <v>512</v>
      </c>
      <c r="C142" s="12" t="s">
        <v>745</v>
      </c>
      <c r="D142" s="12" t="n">
        <v>313</v>
      </c>
      <c r="E142" s="12" t="s">
        <v>809</v>
      </c>
      <c r="G142" s="12" t="n">
        <v>6</v>
      </c>
      <c r="H142" s="12" t="s">
        <v>810</v>
      </c>
      <c r="I142" s="2" t="s">
        <v>811</v>
      </c>
      <c r="J142" s="12" t="s">
        <v>812</v>
      </c>
      <c r="K142" s="5" t="n"/>
      <c r="M142" s="5" t="s">
        <v>90</v>
      </c>
      <c r="O142" s="5">
        <f>CONCATENATE(Tabell1[[#This Row],[OSM tag]],";",Tabell1[[#This Row],[tillegg]],";",Tabell1[[#This Row],[fixme]])</f>
        <v/>
      </c>
    </row>
    <row customHeight="1" ht="34" r="143" spans="1:18">
      <c r="B143" s="12" t="s">
        <v>512</v>
      </c>
      <c r="C143" s="12" t="s">
        <v>745</v>
      </c>
      <c r="E143" s="12" t="s">
        <v>813</v>
      </c>
      <c r="I143" s="2" t="s">
        <v>814</v>
      </c>
      <c r="J143" s="12" t="n"/>
      <c r="K143" s="5" t="n"/>
      <c r="O143" s="5">
        <f>CONCATENATE(Tabell1[[#This Row],[OSM tag]],";",Tabell1[[#This Row],[tillegg]],";",Tabell1[[#This Row],[fixme]])</f>
        <v/>
      </c>
      <c r="P143" s="5" t="s">
        <v>815</v>
      </c>
    </row>
    <row customHeight="1" ht="34" r="144" spans="1:18">
      <c r="A144" s="12" t="n">
        <v>5</v>
      </c>
      <c r="B144" s="12" t="s">
        <v>816</v>
      </c>
      <c r="C144" s="12" t="s">
        <v>817</v>
      </c>
      <c r="D144" s="12" t="n">
        <v>123</v>
      </c>
      <c r="E144" s="12" t="s">
        <v>818</v>
      </c>
      <c r="F144" t="n">
        <v>1748</v>
      </c>
      <c r="G144" s="12" t="n">
        <v>1629</v>
      </c>
      <c r="H144" s="12" t="s">
        <v>819</v>
      </c>
      <c r="I144" s="2" t="s">
        <v>820</v>
      </c>
      <c r="J144" s="12" t="s">
        <v>821</v>
      </c>
      <c r="K144" s="1" t="s">
        <v>822</v>
      </c>
      <c r="L144" s="5" t="s">
        <v>823</v>
      </c>
      <c r="O144" s="5">
        <f>CONCATENATE(Tabell1[[#This Row],[OSM tag]],";",Tabell1[[#This Row],[tillegg]],";",Tabell1[[#This Row],[fixme]])</f>
        <v/>
      </c>
      <c r="P144" s="5" t="s">
        <v>824</v>
      </c>
    </row>
    <row customHeight="1" ht="17" r="145" spans="1:18">
      <c r="A145" s="12" t="n">
        <v>5</v>
      </c>
      <c r="B145" s="12" t="s">
        <v>816</v>
      </c>
      <c r="C145" s="12" t="s">
        <v>817</v>
      </c>
      <c r="D145" s="12" t="n">
        <v>125</v>
      </c>
      <c r="E145" s="12" t="s">
        <v>825</v>
      </c>
      <c r="F145" t="n">
        <v>781</v>
      </c>
      <c r="G145" s="12" t="n">
        <v>653</v>
      </c>
      <c r="H145" s="12" t="s">
        <v>826</v>
      </c>
      <c r="I145" s="2" t="s">
        <v>827</v>
      </c>
      <c r="J145" s="12" t="s">
        <v>828</v>
      </c>
      <c r="K145" s="1" t="s">
        <v>829</v>
      </c>
      <c r="L145" s="5" t="s">
        <v>830</v>
      </c>
      <c r="O145" s="5">
        <f>CONCATENATE(Tabell1[[#This Row],[OSM tag]],";",Tabell1[[#This Row],[tillegg]],";",Tabell1[[#This Row],[fixme]])</f>
        <v/>
      </c>
    </row>
    <row customHeight="1" ht="34" r="146" spans="1:18">
      <c r="A146" s="12" t="n">
        <v>8</v>
      </c>
      <c r="B146" s="12" t="s">
        <v>816</v>
      </c>
      <c r="C146" s="12" t="s">
        <v>817</v>
      </c>
      <c r="D146" s="12" t="n">
        <v>225</v>
      </c>
      <c r="E146" s="12" t="s">
        <v>831</v>
      </c>
      <c r="F146" t="n">
        <v>4642</v>
      </c>
      <c r="G146" s="12" t="n">
        <v>3733</v>
      </c>
      <c r="H146" s="12" t="s">
        <v>832</v>
      </c>
      <c r="I146" s="2" t="s">
        <v>833</v>
      </c>
      <c r="J146" s="12" t="s">
        <v>834</v>
      </c>
      <c r="K146" s="1" t="s">
        <v>835</v>
      </c>
      <c r="M146" s="12" t="s">
        <v>90</v>
      </c>
      <c r="O146" s="5">
        <f>CONCATENATE(Tabell1[[#This Row],[OSM tag]],";",Tabell1[[#This Row],[tillegg]],";",Tabell1[[#This Row],[fixme]])</f>
        <v/>
      </c>
    </row>
    <row customHeight="1" ht="17" r="147" spans="1:18">
      <c r="A147" s="12" t="n">
        <v>8</v>
      </c>
      <c r="B147" s="12" t="s">
        <v>816</v>
      </c>
      <c r="C147" s="12" t="s">
        <v>817</v>
      </c>
      <c r="D147" s="12" t="n">
        <v>235</v>
      </c>
      <c r="E147" s="12" t="s">
        <v>836</v>
      </c>
      <c r="F147" t="n">
        <v>165</v>
      </c>
      <c r="G147" s="12" t="n">
        <v>127</v>
      </c>
      <c r="H147" s="12" t="s">
        <v>837</v>
      </c>
      <c r="I147" s="2" t="s">
        <v>838</v>
      </c>
      <c r="J147" s="12" t="s">
        <v>839</v>
      </c>
      <c r="K147" s="1" t="s">
        <v>840</v>
      </c>
      <c r="L147" s="5" t="s">
        <v>841</v>
      </c>
      <c r="M147" s="12" t="s">
        <v>90</v>
      </c>
      <c r="O147" s="5">
        <f>CONCATENATE(Tabell1[[#This Row],[OSM tag]],";",Tabell1[[#This Row],[tillegg]],";",Tabell1[[#This Row],[fixme]])</f>
        <v/>
      </c>
      <c r="P147" s="5" t="s">
        <v>842</v>
      </c>
    </row>
    <row customHeight="1" ht="34" r="148" spans="1:18">
      <c r="A148" s="12" t="n">
        <v>5</v>
      </c>
      <c r="B148" s="12" t="s">
        <v>816</v>
      </c>
      <c r="C148" s="12" t="s">
        <v>817</v>
      </c>
      <c r="D148" s="12" t="n">
        <v>249</v>
      </c>
      <c r="E148" s="7" t="s">
        <v>843</v>
      </c>
      <c r="G148" s="12" t="n">
        <v>70</v>
      </c>
      <c r="H148" s="12" t="s">
        <v>844</v>
      </c>
      <c r="I148" s="2" t="s">
        <v>845</v>
      </c>
      <c r="J148" s="12" t="s">
        <v>846</v>
      </c>
      <c r="K148" s="5" t="n"/>
      <c r="L148" s="5" t="s">
        <v>847</v>
      </c>
      <c r="N148" s="5" t="s">
        <v>848</v>
      </c>
      <c r="O148" s="5">
        <f>CONCATENATE(Tabell1[[#This Row],[OSM tag]],";",Tabell1[[#This Row],[tillegg]],";",Tabell1[[#This Row],[fixme]])</f>
        <v/>
      </c>
    </row>
    <row customHeight="1" ht="17" r="149" spans="1:18">
      <c r="A149" s="12" t="n">
        <v>5</v>
      </c>
      <c r="B149" s="12" t="s">
        <v>816</v>
      </c>
      <c r="C149" s="12" t="s">
        <v>817</v>
      </c>
      <c r="D149" s="12" t="n">
        <v>251</v>
      </c>
      <c r="E149" s="12" t="s">
        <v>849</v>
      </c>
      <c r="F149" t="n">
        <v>151</v>
      </c>
      <c r="G149" s="12" t="n">
        <v>98</v>
      </c>
      <c r="H149" s="12" t="s">
        <v>850</v>
      </c>
      <c r="I149" s="3" t="s">
        <v>851</v>
      </c>
      <c r="J149" s="12" t="s">
        <v>852</v>
      </c>
      <c r="K149" s="1" t="s">
        <v>453</v>
      </c>
      <c r="L149" s="5" t="s">
        <v>853</v>
      </c>
      <c r="M149" s="12" t="n"/>
      <c r="O149" s="5">
        <f>CONCATENATE(Tabell1[[#This Row],[OSM tag]],";",Tabell1[[#This Row],[tillegg]],";",Tabell1[[#This Row],[fixme]])</f>
        <v/>
      </c>
    </row>
    <row customHeight="1" ht="17" r="150" spans="1:18">
      <c r="A150" s="12" t="n">
        <v>8</v>
      </c>
      <c r="B150" s="12" t="s">
        <v>816</v>
      </c>
      <c r="C150" s="12" t="s">
        <v>854</v>
      </c>
      <c r="D150" s="12" t="n">
        <v>207</v>
      </c>
      <c r="E150" s="12" t="s">
        <v>855</v>
      </c>
      <c r="F150" t="n">
        <v>18</v>
      </c>
      <c r="G150" s="12" t="n">
        <v>21</v>
      </c>
      <c r="H150" s="12" t="s">
        <v>856</v>
      </c>
      <c r="I150" s="2" t="s">
        <v>857</v>
      </c>
      <c r="J150" s="12" t="s">
        <v>858</v>
      </c>
      <c r="K150" s="1" t="s"/>
      <c r="L150" s="5" t="s">
        <v>859</v>
      </c>
      <c r="M150" s="12" t="s">
        <v>90</v>
      </c>
      <c r="O150" s="5">
        <f>CONCATENATE(Tabell1[[#This Row],[OSM tag]],";",Tabell1[[#This Row],[tillegg]],";",Tabell1[[#This Row],[fixme]])</f>
        <v/>
      </c>
    </row>
    <row customHeight="1" ht="17" r="151" spans="1:18">
      <c r="A151" s="12" t="n">
        <v>8</v>
      </c>
      <c r="B151" s="12" t="s">
        <v>816</v>
      </c>
      <c r="C151" s="12" t="s">
        <v>854</v>
      </c>
      <c r="D151" s="12" t="n">
        <v>208</v>
      </c>
      <c r="E151" s="12" t="s">
        <v>860</v>
      </c>
      <c r="F151" t="n">
        <v>213</v>
      </c>
      <c r="G151" s="12" t="n">
        <v>193</v>
      </c>
      <c r="H151" s="12" t="s">
        <v>861</v>
      </c>
      <c r="I151" s="2" t="s">
        <v>862</v>
      </c>
      <c r="J151" s="12" t="s">
        <v>863</v>
      </c>
      <c r="K151" s="1" t="s">
        <v>864</v>
      </c>
      <c r="L151" s="5" t="s">
        <v>865</v>
      </c>
      <c r="O151" s="5">
        <f>CONCATENATE(Tabell1[[#This Row],[OSM tag]],";",Tabell1[[#This Row],[tillegg]],";",Tabell1[[#This Row],[fixme]])</f>
        <v/>
      </c>
    </row>
    <row customHeight="1" ht="17" r="152" spans="1:18">
      <c r="A152" s="12" t="n">
        <v>8</v>
      </c>
      <c r="B152" s="12" t="s">
        <v>816</v>
      </c>
      <c r="C152" s="12" t="s">
        <v>854</v>
      </c>
      <c r="D152" s="12" t="n">
        <v>209</v>
      </c>
      <c r="E152" s="7" t="s">
        <v>866</v>
      </c>
      <c r="F152" t="n">
        <v>117</v>
      </c>
      <c r="G152" s="12" t="n">
        <v>97</v>
      </c>
      <c r="H152" s="12" t="s">
        <v>867</v>
      </c>
      <c r="I152" s="2" t="s">
        <v>868</v>
      </c>
      <c r="J152" s="12" t="s">
        <v>869</v>
      </c>
      <c r="K152" s="1" t="s"/>
      <c r="L152" s="5" t="s">
        <v>870</v>
      </c>
      <c r="O152" s="5">
        <f>CONCATENATE(Tabell1[[#This Row],[OSM tag]],";",Tabell1[[#This Row],[tillegg]],";",Tabell1[[#This Row],[fixme]])</f>
        <v/>
      </c>
    </row>
    <row customHeight="1" ht="17" r="153" spans="1:18">
      <c r="A153" s="12" t="n">
        <v>3</v>
      </c>
      <c r="B153" s="12" t="s">
        <v>871</v>
      </c>
      <c r="C153" s="12" t="s">
        <v>872</v>
      </c>
      <c r="D153" s="12" t="n">
        <v>63</v>
      </c>
      <c r="E153" s="12" t="s">
        <v>873</v>
      </c>
      <c r="F153" t="n">
        <v>558</v>
      </c>
      <c r="G153" s="12" t="n">
        <v>444</v>
      </c>
      <c r="H153" s="12" t="s">
        <v>874</v>
      </c>
      <c r="I153" s="2" t="s">
        <v>875</v>
      </c>
      <c r="J153" s="12" t="s">
        <v>876</v>
      </c>
      <c r="K153" s="1" t="s"/>
      <c r="M153" s="12" t="s">
        <v>90</v>
      </c>
      <c r="O153" s="5">
        <f>CONCATENATE(Tabell1[[#This Row],[OSM tag]],";",Tabell1[[#This Row],[tillegg]],";",Tabell1[[#This Row],[fixme]])</f>
        <v/>
      </c>
      <c r="P153" s="5" t="s">
        <v>877</v>
      </c>
    </row>
    <row customHeight="1" ht="17" r="154" spans="1:18">
      <c r="A154" s="12" t="n">
        <v>3</v>
      </c>
      <c r="B154" s="12" t="s">
        <v>871</v>
      </c>
      <c r="C154" s="12" t="s">
        <v>878</v>
      </c>
      <c r="D154" s="12" t="n">
        <v>62</v>
      </c>
      <c r="E154" s="7" t="s">
        <v>879</v>
      </c>
      <c r="F154" t="n">
        <v>6254</v>
      </c>
      <c r="G154" s="12" t="n">
        <v>5340</v>
      </c>
      <c r="H154" s="12" t="s">
        <v>880</v>
      </c>
      <c r="I154" s="2" t="s">
        <v>881</v>
      </c>
      <c r="J154" s="12" t="s">
        <v>882</v>
      </c>
      <c r="K154" s="1" t="s">
        <v>883</v>
      </c>
      <c r="L154" s="2" t="n"/>
      <c r="M154" s="12" t="s">
        <v>90</v>
      </c>
      <c r="O154" s="5">
        <f>CONCATENATE(Tabell1[[#This Row],[OSM tag]],";",Tabell1[[#This Row],[tillegg]],";",Tabell1[[#This Row],[fixme]])</f>
        <v/>
      </c>
      <c r="P154" s="5" t="s">
        <v>884</v>
      </c>
    </row>
    <row customHeight="1" ht="17" r="155" spans="1:18">
      <c r="A155" s="12" t="n">
        <v>3</v>
      </c>
      <c r="B155" s="12" t="s">
        <v>871</v>
      </c>
      <c r="C155" s="12" t="s">
        <v>878</v>
      </c>
      <c r="D155" s="12" t="n">
        <v>67</v>
      </c>
      <c r="E155" s="12" t="s">
        <v>885</v>
      </c>
      <c r="F155" t="n">
        <v>3150</v>
      </c>
      <c r="G155" s="12" t="n">
        <v>2408</v>
      </c>
      <c r="H155" s="12" t="s">
        <v>886</v>
      </c>
      <c r="I155" s="2" t="s">
        <v>887</v>
      </c>
      <c r="J155" s="12" t="s">
        <v>888</v>
      </c>
      <c r="K155" s="1" t="s">
        <v>889</v>
      </c>
      <c r="L155" s="5" t="s">
        <v>890</v>
      </c>
      <c r="O155" s="5">
        <f>CONCATENATE(Tabell1[[#This Row],[OSM tag]],";",Tabell1[[#This Row],[tillegg]],";",Tabell1[[#This Row],[fixme]])</f>
        <v/>
      </c>
    </row>
    <row customHeight="1" ht="17" r="156" spans="1:18">
      <c r="A156" s="12" t="n">
        <v>3</v>
      </c>
      <c r="B156" s="12" t="s">
        <v>871</v>
      </c>
      <c r="C156" s="12" t="s">
        <v>878</v>
      </c>
      <c r="D156" s="12" t="n">
        <v>68</v>
      </c>
      <c r="E156" s="12" t="s">
        <v>891</v>
      </c>
      <c r="F156" t="n">
        <v>8082</v>
      </c>
      <c r="G156" s="12" t="n">
        <v>4914</v>
      </c>
      <c r="H156" s="12" t="s">
        <v>892</v>
      </c>
      <c r="I156" s="2" t="s">
        <v>893</v>
      </c>
      <c r="J156" s="12" t="s">
        <v>894</v>
      </c>
      <c r="K156" s="1" t="s">
        <v>895</v>
      </c>
      <c r="M156" s="12" t="s">
        <v>90</v>
      </c>
      <c r="O156" s="5">
        <f>CONCATENATE(Tabell1[[#This Row],[OSM tag]],";",Tabell1[[#This Row],[tillegg]],";",Tabell1[[#This Row],[fixme]])</f>
        <v/>
      </c>
    </row>
    <row customHeight="1" ht="17" r="157" spans="1:18">
      <c r="A157" s="12" t="n">
        <v>3</v>
      </c>
      <c r="B157" s="12" t="s">
        <v>871</v>
      </c>
      <c r="C157" s="12" t="s">
        <v>878</v>
      </c>
      <c r="D157" s="12" t="n">
        <v>69</v>
      </c>
      <c r="E157" s="12" t="s">
        <v>896</v>
      </c>
      <c r="F157" t="n">
        <v>518</v>
      </c>
      <c r="G157" s="12" t="n">
        <v>314</v>
      </c>
      <c r="H157" s="12" t="s">
        <v>897</v>
      </c>
      <c r="I157" s="2" t="s">
        <v>898</v>
      </c>
      <c r="J157" s="12" t="s">
        <v>899</v>
      </c>
      <c r="K157" s="1" t="s">
        <v>900</v>
      </c>
      <c r="M157" s="5" t="s">
        <v>90</v>
      </c>
      <c r="O157" s="5">
        <f>CONCATENATE(Tabell1[[#This Row],[OSM tag]],";",Tabell1[[#This Row],[tillegg]],";",Tabell1[[#This Row],[fixme]])</f>
        <v/>
      </c>
      <c r="P157" s="5" t="s">
        <v>901</v>
      </c>
    </row>
    <row customHeight="1" ht="17" r="158" spans="1:18">
      <c r="A158" s="12" t="n">
        <v>3</v>
      </c>
      <c r="B158" s="12" t="s">
        <v>871</v>
      </c>
      <c r="C158" s="12" t="s">
        <v>878</v>
      </c>
      <c r="D158" s="12" t="n">
        <v>71</v>
      </c>
      <c r="E158" s="12" t="s">
        <v>902</v>
      </c>
      <c r="F158" t="n">
        <v>3295</v>
      </c>
      <c r="G158" s="12" t="n">
        <v>3166</v>
      </c>
      <c r="H158" s="12" t="s">
        <v>903</v>
      </c>
      <c r="I158" s="2" t="s">
        <v>904</v>
      </c>
      <c r="J158" s="12" t="s">
        <v>905</v>
      </c>
      <c r="K158" s="1" t="s">
        <v>906</v>
      </c>
      <c r="L158" s="2" t="s">
        <v>177</v>
      </c>
      <c r="M158" s="12" t="s">
        <v>90</v>
      </c>
      <c r="O158" s="5">
        <f>CONCATENATE(Tabell1[[#This Row],[OSM tag]],";",Tabell1[[#This Row],[tillegg]],";",Tabell1[[#This Row],[fixme]])</f>
        <v/>
      </c>
    </row>
    <row customHeight="1" ht="34" r="159" spans="1:18">
      <c r="A159" s="12" t="n">
        <v>8</v>
      </c>
      <c r="B159" s="12" t="s">
        <v>871</v>
      </c>
      <c r="C159" s="12" t="s">
        <v>878</v>
      </c>
      <c r="D159" s="12" t="n">
        <v>224</v>
      </c>
      <c r="E159" s="12" t="s">
        <v>907</v>
      </c>
      <c r="F159" t="n">
        <v>302</v>
      </c>
      <c r="G159" s="12" t="n">
        <v>264</v>
      </c>
      <c r="H159" s="12" t="s">
        <v>908</v>
      </c>
      <c r="I159" s="2" t="s">
        <v>909</v>
      </c>
      <c r="J159" s="12" t="s">
        <v>910</v>
      </c>
      <c r="K159" s="1" t="s">
        <v>911</v>
      </c>
      <c r="L159" s="2" t="s">
        <v>177</v>
      </c>
      <c r="M159" s="12" t="s">
        <v>90</v>
      </c>
      <c r="O159" s="5">
        <f>CONCATENATE(Tabell1[[#This Row],[OSM tag]],";",Tabell1[[#This Row],[tillegg]],";",Tabell1[[#This Row],[fixme]])</f>
        <v/>
      </c>
    </row>
    <row customHeight="1" ht="34" r="160" spans="1:18">
      <c r="A160" s="12" t="n">
        <v>2</v>
      </c>
      <c r="B160" s="12" t="s">
        <v>871</v>
      </c>
      <c r="C160" s="12" t="s">
        <v>912</v>
      </c>
      <c r="D160" s="12" t="n">
        <v>50</v>
      </c>
      <c r="E160" s="12" t="s">
        <v>913</v>
      </c>
      <c r="F160" t="n">
        <v>467</v>
      </c>
      <c r="G160" s="12" t="n">
        <v>491</v>
      </c>
      <c r="H160" s="12" t="s">
        <v>914</v>
      </c>
      <c r="I160" s="2" t="s">
        <v>915</v>
      </c>
      <c r="J160" s="12" t="s">
        <v>916</v>
      </c>
      <c r="K160" s="1" t="s">
        <v>917</v>
      </c>
      <c r="L160" s="5" t="s">
        <v>918</v>
      </c>
      <c r="O160" s="5">
        <f>CONCATENATE(Tabell1[[#This Row],[OSM tag]],";",Tabell1[[#This Row],[tillegg]],";",Tabell1[[#This Row],[fixme]])</f>
        <v/>
      </c>
    </row>
    <row customHeight="1" ht="17" r="161" spans="1:18">
      <c r="A161" s="12" t="n">
        <v>2</v>
      </c>
      <c r="B161" s="12" t="s">
        <v>871</v>
      </c>
      <c r="C161" s="12" t="s">
        <v>912</v>
      </c>
      <c r="D161" s="12" t="n">
        <v>51</v>
      </c>
      <c r="E161" s="12" t="s">
        <v>919</v>
      </c>
      <c r="G161" s="12" t="n">
        <v>179</v>
      </c>
      <c r="H161" s="12" t="s">
        <v>920</v>
      </c>
      <c r="I161" s="2" t="s">
        <v>921</v>
      </c>
      <c r="J161" s="12" t="s">
        <v>922</v>
      </c>
      <c r="K161" s="5" t="n"/>
      <c r="M161" s="12" t="s">
        <v>90</v>
      </c>
      <c r="O161" s="5">
        <f>CONCATENATE(Tabell1[[#This Row],[OSM tag]],";",Tabell1[[#This Row],[tillegg]],";",Tabell1[[#This Row],[fixme]])</f>
        <v/>
      </c>
    </row>
    <row customHeight="1" ht="17" r="162" spans="1:18">
      <c r="B162" s="12" t="s">
        <v>871</v>
      </c>
      <c r="C162" s="12" t="s">
        <v>912</v>
      </c>
      <c r="E162" s="7" t="s">
        <v>923</v>
      </c>
      <c r="I162" s="2" t="s">
        <v>924</v>
      </c>
      <c r="J162" s="12" t="n"/>
      <c r="K162" s="5" t="n"/>
      <c r="L162" s="5" t="s">
        <v>918</v>
      </c>
      <c r="O162" s="5">
        <f>CONCATENATE(Tabell1[[#This Row],[OSM tag]],";",Tabell1[[#This Row],[tillegg]],";",Tabell1[[#This Row],[fixme]])</f>
        <v/>
      </c>
    </row>
    <row customHeight="1" ht="17" r="163" spans="1:18">
      <c r="A163" s="12" t="n">
        <v>1</v>
      </c>
      <c r="B163" s="12" t="s">
        <v>871</v>
      </c>
      <c r="C163" s="12" t="s">
        <v>925</v>
      </c>
      <c r="D163" s="12" t="n">
        <v>21</v>
      </c>
      <c r="E163" s="12" t="s">
        <v>926</v>
      </c>
      <c r="F163" t="n">
        <v>3411</v>
      </c>
      <c r="G163" s="12" t="n">
        <v>2950</v>
      </c>
      <c r="H163" s="12" t="s">
        <v>927</v>
      </c>
      <c r="I163" s="2" t="s">
        <v>928</v>
      </c>
      <c r="J163" s="12" t="s">
        <v>929</v>
      </c>
      <c r="K163" s="1" t="s">
        <v>930</v>
      </c>
      <c r="L163" s="5" t="s">
        <v>931</v>
      </c>
      <c r="M163" s="12" t="n"/>
      <c r="O163" s="5">
        <f>CONCATENATE(Tabell1[[#This Row],[OSM tag]],";",Tabell1[[#This Row],[tillegg]],";",Tabell1[[#This Row],[fixme]])</f>
        <v/>
      </c>
    </row>
    <row customHeight="1" ht="17" r="164" spans="1:18">
      <c r="A164" s="12" t="n">
        <v>3</v>
      </c>
      <c r="B164" s="12" t="s">
        <v>871</v>
      </c>
      <c r="C164" s="12" t="s">
        <v>925</v>
      </c>
      <c r="D164" s="12" t="n">
        <v>64</v>
      </c>
      <c r="E164" s="7" t="s">
        <v>932</v>
      </c>
      <c r="F164" t="n">
        <v>2557</v>
      </c>
      <c r="G164" s="12" t="n">
        <v>2354</v>
      </c>
      <c r="H164" s="12" t="s">
        <v>933</v>
      </c>
      <c r="I164" s="2" t="s">
        <v>934</v>
      </c>
      <c r="J164" s="12" t="s">
        <v>935</v>
      </c>
      <c r="K164" s="1" t="s">
        <v>936</v>
      </c>
      <c r="L164" s="5" t="s">
        <v>937</v>
      </c>
      <c r="O164" s="5">
        <f>CONCATENATE(Tabell1[[#This Row],[OSM tag]],";",Tabell1[[#This Row],[tillegg]],";",Tabell1[[#This Row],[fixme]])</f>
        <v/>
      </c>
    </row>
    <row customHeight="1" ht="34" r="165" spans="1:18">
      <c r="A165" s="12" t="n">
        <v>3</v>
      </c>
      <c r="B165" s="12" t="s">
        <v>871</v>
      </c>
      <c r="C165" s="12" t="s">
        <v>925</v>
      </c>
      <c r="D165" s="12" t="n">
        <v>65</v>
      </c>
      <c r="E165" s="7" t="s">
        <v>938</v>
      </c>
      <c r="G165" s="12" t="n">
        <v>646</v>
      </c>
      <c r="H165" s="12" t="s">
        <v>939</v>
      </c>
      <c r="I165" s="2" t="s">
        <v>940</v>
      </c>
      <c r="J165" s="12" t="s">
        <v>941</v>
      </c>
      <c r="K165" s="5" t="n"/>
      <c r="M165" s="12" t="s">
        <v>90</v>
      </c>
      <c r="O165" s="5">
        <f>CONCATENATE(Tabell1[[#This Row],[OSM tag]],";",Tabell1[[#This Row],[tillegg]],";",Tabell1[[#This Row],[fixme]])</f>
        <v/>
      </c>
    </row>
    <row customHeight="1" ht="17" r="166" spans="1:18">
      <c r="A166" s="12" t="n">
        <v>3</v>
      </c>
      <c r="B166" s="12" t="s">
        <v>871</v>
      </c>
      <c r="C166" s="12" t="s">
        <v>925</v>
      </c>
      <c r="D166" s="12" t="n">
        <v>66</v>
      </c>
      <c r="E166" s="12" t="s">
        <v>942</v>
      </c>
      <c r="F166" t="n">
        <v>131</v>
      </c>
      <c r="G166" s="12" t="n">
        <v>121</v>
      </c>
      <c r="H166" s="12" t="s">
        <v>943</v>
      </c>
      <c r="I166" s="2" t="s">
        <v>944</v>
      </c>
      <c r="J166" s="12" t="s">
        <v>945</v>
      </c>
      <c r="K166" s="1" t="s">
        <v>453</v>
      </c>
      <c r="L166" s="5" t="s">
        <v>946</v>
      </c>
      <c r="O166" s="5">
        <f>CONCATENATE(Tabell1[[#This Row],[OSM tag]],";",Tabell1[[#This Row],[tillegg]],";",Tabell1[[#This Row],[fixme]])</f>
        <v/>
      </c>
      <c r="P166" s="5" t="s">
        <v>947</v>
      </c>
    </row>
    <row customHeight="1" ht="17" r="167" spans="1:18">
      <c r="B167" s="12" t="s">
        <v>871</v>
      </c>
      <c r="C167" s="12" t="s">
        <v>925</v>
      </c>
      <c r="E167" s="7" t="s">
        <v>948</v>
      </c>
      <c r="I167" s="2" t="s">
        <v>949</v>
      </c>
      <c r="J167" s="12" t="n"/>
      <c r="K167" s="5" t="n"/>
      <c r="M167" s="5" t="s">
        <v>90</v>
      </c>
      <c r="O167" s="5">
        <f>CONCATENATE(Tabell1[[#This Row],[OSM tag]],";",Tabell1[[#This Row],[tillegg]],";",Tabell1[[#This Row],[fixme]])</f>
        <v/>
      </c>
    </row>
    <row customHeight="1" ht="17" r="168" spans="1:18">
      <c r="B168" s="12" t="s">
        <v>871</v>
      </c>
      <c r="C168" s="12" t="s">
        <v>925</v>
      </c>
      <c r="E168" s="12" t="s">
        <v>950</v>
      </c>
      <c r="F168" t="n">
        <v>77</v>
      </c>
      <c r="I168" s="2" t="s">
        <v>951</v>
      </c>
      <c r="J168" s="12" t="n"/>
      <c r="K168" s="1" t="s"/>
      <c r="L168" s="5" t="s">
        <v>937</v>
      </c>
      <c r="M168" s="12" t="s">
        <v>90</v>
      </c>
      <c r="O168" s="5">
        <f>CONCATENATE(Tabell1[[#This Row],[OSM tag]],";",Tabell1[[#This Row],[tillegg]],";",Tabell1[[#This Row],[fixme]])</f>
        <v/>
      </c>
    </row>
    <row customHeight="1" ht="17" r="169" spans="1:18">
      <c r="A169" s="12" t="n">
        <v>3</v>
      </c>
      <c r="B169" s="12" t="s">
        <v>871</v>
      </c>
      <c r="C169" s="12" t="s">
        <v>952</v>
      </c>
      <c r="D169" s="12" t="n">
        <v>70</v>
      </c>
      <c r="E169" s="7" t="s">
        <v>953</v>
      </c>
      <c r="G169" s="12" t="n">
        <v>19</v>
      </c>
      <c r="H169" s="12" t="s">
        <v>954</v>
      </c>
      <c r="I169" s="2" t="s">
        <v>955</v>
      </c>
      <c r="J169" s="12" t="s">
        <v>956</v>
      </c>
      <c r="K169" s="5" t="n"/>
      <c r="L169" s="5" t="s">
        <v>957</v>
      </c>
      <c r="O169" s="5">
        <f>CONCATENATE(Tabell1[[#This Row],[OSM tag]],";",Tabell1[[#This Row],[tillegg]],";",Tabell1[[#This Row],[fixme]])</f>
        <v/>
      </c>
    </row>
    <row customHeight="1" ht="17" r="170" spans="1:18">
      <c r="A170" s="12" t="n">
        <v>5</v>
      </c>
      <c r="B170" s="12" t="s">
        <v>871</v>
      </c>
      <c r="C170" s="12" t="s">
        <v>952</v>
      </c>
      <c r="D170" s="12" t="n">
        <v>218</v>
      </c>
      <c r="E170" s="12" t="s">
        <v>958</v>
      </c>
      <c r="F170" t="n">
        <v>312</v>
      </c>
      <c r="G170" s="12" t="n">
        <v>273</v>
      </c>
      <c r="H170" s="12" t="s">
        <v>959</v>
      </c>
      <c r="I170" s="2" t="s">
        <v>960</v>
      </c>
      <c r="J170" s="12" t="s">
        <v>961</v>
      </c>
      <c r="K170" s="1" t="s">
        <v>962</v>
      </c>
      <c r="L170" s="5" t="s">
        <v>963</v>
      </c>
      <c r="O170" s="5">
        <f>CONCATENATE(Tabell1[[#This Row],[OSM tag]],";",Tabell1[[#This Row],[tillegg]],";",Tabell1[[#This Row],[fixme]])</f>
        <v/>
      </c>
    </row>
    <row customHeight="1" ht="17" r="171" spans="1:18">
      <c r="A171" s="12" t="n">
        <v>3</v>
      </c>
      <c r="B171" s="12" t="s">
        <v>871</v>
      </c>
      <c r="C171" s="12" t="s">
        <v>952</v>
      </c>
      <c r="D171" s="12" t="n">
        <v>226</v>
      </c>
      <c r="E171" s="12" t="s">
        <v>964</v>
      </c>
      <c r="F171" t="n">
        <v>155</v>
      </c>
      <c r="G171" s="12" t="n">
        <v>127</v>
      </c>
      <c r="H171" s="12" t="s">
        <v>965</v>
      </c>
      <c r="I171" s="2" t="s">
        <v>966</v>
      </c>
      <c r="J171" s="12" t="s">
        <v>967</v>
      </c>
      <c r="K171" s="1" t="s"/>
      <c r="L171" s="5" t="s">
        <v>963</v>
      </c>
      <c r="O171" s="5">
        <f>CONCATENATE(Tabell1[[#This Row],[OSM tag]],";",Tabell1[[#This Row],[tillegg]],";",Tabell1[[#This Row],[fixme]])</f>
        <v/>
      </c>
    </row>
    <row customHeight="1" ht="17" r="172" spans="1:18">
      <c r="A172" s="12" t="n">
        <v>3</v>
      </c>
      <c r="B172" s="12" t="s">
        <v>871</v>
      </c>
      <c r="C172" s="12" t="s">
        <v>952</v>
      </c>
      <c r="D172" s="12" t="n">
        <v>264</v>
      </c>
      <c r="E172" s="12" t="s">
        <v>968</v>
      </c>
      <c r="G172" s="12" t="n">
        <v>4</v>
      </c>
      <c r="H172" s="12" t="s">
        <v>969</v>
      </c>
      <c r="I172" s="2" t="s">
        <v>970</v>
      </c>
      <c r="J172" s="12" t="s">
        <v>971</v>
      </c>
      <c r="K172" s="5" t="n"/>
      <c r="L172" s="2" t="s">
        <v>972</v>
      </c>
      <c r="O172" s="5">
        <f>CONCATENATE(Tabell1[[#This Row],[OSM tag]],";",Tabell1[[#This Row],[tillegg]],";",Tabell1[[#This Row],[fixme]])</f>
        <v/>
      </c>
    </row>
    <row customHeight="1" ht="17" r="173" spans="1:18">
      <c r="A173" s="12" t="n">
        <v>3</v>
      </c>
      <c r="B173" s="12" t="s">
        <v>871</v>
      </c>
      <c r="C173" s="12" t="s">
        <v>973</v>
      </c>
      <c r="D173" s="12" t="n">
        <v>60</v>
      </c>
      <c r="E173" s="12" t="s">
        <v>974</v>
      </c>
      <c r="F173" t="n">
        <v>7823</v>
      </c>
      <c r="G173" s="12" t="n">
        <v>7616</v>
      </c>
      <c r="H173" s="12" t="s">
        <v>975</v>
      </c>
      <c r="I173" s="2" t="s">
        <v>976</v>
      </c>
      <c r="J173" s="12" t="s">
        <v>977</v>
      </c>
      <c r="K173" s="1" t="s">
        <v>978</v>
      </c>
      <c r="M173" s="12" t="s">
        <v>90</v>
      </c>
      <c r="O173" s="5">
        <f>CONCATENATE(Tabell1[[#This Row],[OSM tag]],";",Tabell1[[#This Row],[tillegg]],";",Tabell1[[#This Row],[fixme]])</f>
        <v/>
      </c>
    </row>
    <row customHeight="1" ht="17" r="174" spans="1:18">
      <c r="A174" s="12" t="n">
        <v>3</v>
      </c>
      <c r="B174" s="12" t="s">
        <v>871</v>
      </c>
      <c r="C174" s="12" t="s">
        <v>973</v>
      </c>
      <c r="D174" s="12" t="n">
        <v>311</v>
      </c>
      <c r="E174" s="12" t="s">
        <v>979</v>
      </c>
      <c r="F174" t="n">
        <v>43</v>
      </c>
      <c r="G174" s="12" t="n">
        <v>6</v>
      </c>
      <c r="H174" s="12" t="s">
        <v>980</v>
      </c>
      <c r="I174" s="2" t="s">
        <v>981</v>
      </c>
      <c r="J174" s="12" t="s">
        <v>982</v>
      </c>
      <c r="K174" s="1" t="s"/>
      <c r="M174" s="12" t="s">
        <v>90</v>
      </c>
      <c r="O174" s="5">
        <f>CONCATENATE(Tabell1[[#This Row],[OSM tag]],";",Tabell1[[#This Row],[tillegg]],";",Tabell1[[#This Row],[fixme]])</f>
        <v/>
      </c>
    </row>
    <row customHeight="1" ht="17" r="175" spans="1:18">
      <c r="A175" s="12" t="n">
        <v>3</v>
      </c>
      <c r="B175" s="12" t="s">
        <v>871</v>
      </c>
      <c r="C175" s="12" t="s">
        <v>983</v>
      </c>
      <c r="D175" s="12" t="n">
        <v>61</v>
      </c>
      <c r="E175" s="12" t="s">
        <v>984</v>
      </c>
      <c r="F175" t="n">
        <v>52392</v>
      </c>
      <c r="G175" s="12" t="n">
        <v>50738</v>
      </c>
      <c r="H175" s="12" t="s">
        <v>985</v>
      </c>
      <c r="I175" s="2" t="s">
        <v>986</v>
      </c>
      <c r="J175" s="12" t="s">
        <v>987</v>
      </c>
      <c r="K175" s="1" t="s">
        <v>988</v>
      </c>
      <c r="L175" s="5" t="s">
        <v>989</v>
      </c>
      <c r="O175" s="5">
        <f>CONCATENATE(Tabell1[[#This Row],[OSM tag]],";",Tabell1[[#This Row],[tillegg]],";",Tabell1[[#This Row],[fixme]])</f>
        <v/>
      </c>
    </row>
    <row customHeight="1" ht="17" r="176" spans="1:18">
      <c r="A176" s="12" t="n">
        <v>7</v>
      </c>
      <c r="B176" s="12" t="s">
        <v>990</v>
      </c>
      <c r="C176" s="12" t="s">
        <v>991</v>
      </c>
      <c r="D176" s="12" t="n">
        <v>180</v>
      </c>
      <c r="E176" s="7" t="s">
        <v>992</v>
      </c>
      <c r="G176" s="12" t="n">
        <v>3</v>
      </c>
      <c r="H176" s="12" t="s">
        <v>993</v>
      </c>
      <c r="I176" s="2" t="s">
        <v>994</v>
      </c>
      <c r="J176" s="12" t="s">
        <v>995</v>
      </c>
      <c r="K176" s="5" t="n"/>
      <c r="L176" s="9" t="n"/>
      <c r="O176" s="5">
        <f>CONCATENATE(Tabell1[[#This Row],[OSM tag]],";",Tabell1[[#This Row],[tillegg]],";",Tabell1[[#This Row],[fixme]])</f>
        <v/>
      </c>
      <c r="P176" s="5" t="s">
        <v>553</v>
      </c>
    </row>
    <row customHeight="1" ht="17" r="177" spans="1:18">
      <c r="A177" s="12" t="n">
        <v>7</v>
      </c>
      <c r="B177" s="12" t="s">
        <v>990</v>
      </c>
      <c r="C177" s="12" t="s">
        <v>991</v>
      </c>
      <c r="D177" s="12" t="n">
        <v>181</v>
      </c>
      <c r="E177" s="12" t="s">
        <v>996</v>
      </c>
      <c r="G177" s="12" t="n">
        <v>23</v>
      </c>
      <c r="H177" s="12" t="s">
        <v>997</v>
      </c>
      <c r="I177" s="2" t="s">
        <v>998</v>
      </c>
      <c r="J177" s="12" t="s">
        <v>999</v>
      </c>
      <c r="K177" s="5" t="n"/>
      <c r="L177" s="9" t="n"/>
      <c r="O177" s="5">
        <f>CONCATENATE(Tabell1[[#This Row],[OSM tag]],";",Tabell1[[#This Row],[tillegg]],";",Tabell1[[#This Row],[fixme]])</f>
        <v/>
      </c>
      <c r="P177" s="5" t="s">
        <v>553</v>
      </c>
    </row>
    <row customHeight="1" ht="17" r="178" spans="1:18">
      <c r="A178" s="12" t="n">
        <v>7</v>
      </c>
      <c r="B178" s="12" t="s">
        <v>990</v>
      </c>
      <c r="C178" s="12" t="s">
        <v>991</v>
      </c>
      <c r="D178" s="12" t="n">
        <v>182</v>
      </c>
      <c r="E178" s="12" t="s">
        <v>1000</v>
      </c>
      <c r="G178" s="12" t="n">
        <v>463</v>
      </c>
      <c r="H178" s="12" t="s">
        <v>1001</v>
      </c>
      <c r="I178" s="2" t="s">
        <v>998</v>
      </c>
      <c r="J178" s="12" t="s">
        <v>999</v>
      </c>
      <c r="K178" s="5" t="n"/>
      <c r="O178" s="5">
        <f>CONCATENATE(Tabell1[[#This Row],[OSM tag]],";",Tabell1[[#This Row],[tillegg]],";",Tabell1[[#This Row],[fixme]])</f>
        <v/>
      </c>
      <c r="P178" s="5" t="s">
        <v>553</v>
      </c>
    </row>
    <row customHeight="1" ht="17" r="179" spans="1:18">
      <c r="A179" s="12" t="n">
        <v>7</v>
      </c>
      <c r="B179" s="12" t="s">
        <v>990</v>
      </c>
      <c r="C179" s="12" t="s">
        <v>991</v>
      </c>
      <c r="D179" s="12" t="n">
        <v>183</v>
      </c>
      <c r="E179" s="12" t="s">
        <v>1002</v>
      </c>
      <c r="F179" t="n">
        <v>13</v>
      </c>
      <c r="G179" s="12" t="n">
        <v>12</v>
      </c>
      <c r="H179" s="12" t="s">
        <v>1003</v>
      </c>
      <c r="I179" s="2" t="s">
        <v>1004</v>
      </c>
      <c r="J179" s="12" t="s">
        <v>1005</v>
      </c>
      <c r="K179" s="1" t="s">
        <v>1006</v>
      </c>
      <c r="L179" s="5" t="s">
        <v>51</v>
      </c>
      <c r="M179" s="12" t="n"/>
      <c r="O179" s="5">
        <f>CONCATENATE(Tabell1[[#This Row],[OSM tag]],";",Tabell1[[#This Row],[tillegg]],";",Tabell1[[#This Row],[fixme]])</f>
        <v/>
      </c>
    </row>
    <row customHeight="1" ht="17" r="180" spans="1:18">
      <c r="A180" s="12" t="n">
        <v>7</v>
      </c>
      <c r="B180" s="12" t="s">
        <v>990</v>
      </c>
      <c r="C180" s="12" t="s">
        <v>991</v>
      </c>
      <c r="D180" s="12" t="n">
        <v>184</v>
      </c>
      <c r="E180" s="12" t="s">
        <v>1007</v>
      </c>
      <c r="G180" s="12" t="n">
        <v>4</v>
      </c>
      <c r="H180" s="12" t="s">
        <v>1008</v>
      </c>
      <c r="I180" s="2" t="s">
        <v>1009</v>
      </c>
      <c r="J180" s="12" t="s">
        <v>1010</v>
      </c>
      <c r="K180" s="5" t="n"/>
      <c r="M180" s="12" t="s">
        <v>90</v>
      </c>
      <c r="O180" s="5">
        <f>CONCATENATE(Tabell1[[#This Row],[OSM tag]],";",Tabell1[[#This Row],[tillegg]],";",Tabell1[[#This Row],[fixme]])</f>
        <v/>
      </c>
    </row>
    <row customHeight="1" ht="17" r="181" spans="1:18">
      <c r="A181" s="12" t="n">
        <v>5</v>
      </c>
      <c r="B181" s="12" t="s">
        <v>990</v>
      </c>
      <c r="C181" s="12" t="s">
        <v>991</v>
      </c>
      <c r="D181" s="12" t="n">
        <v>230</v>
      </c>
      <c r="E181" s="12" t="s">
        <v>1011</v>
      </c>
      <c r="G181" s="12" t="n">
        <v>26</v>
      </c>
      <c r="H181" s="12" t="s">
        <v>1012</v>
      </c>
      <c r="I181" s="2" t="s">
        <v>1013</v>
      </c>
      <c r="J181" s="12" t="s">
        <v>1014</v>
      </c>
      <c r="K181" s="5" t="n"/>
      <c r="O181" s="5">
        <f>CONCATENATE(Tabell1[[#This Row],[OSM tag]],";",Tabell1[[#This Row],[tillegg]],";",Tabell1[[#This Row],[fixme]])</f>
        <v/>
      </c>
      <c r="P181" s="5" t="s">
        <v>1015</v>
      </c>
    </row>
    <row customHeight="1" ht="34" r="182" spans="1:18">
      <c r="A182" s="12" t="n">
        <v>7</v>
      </c>
      <c r="B182" s="12" t="s">
        <v>990</v>
      </c>
      <c r="C182" s="12" t="s">
        <v>991</v>
      </c>
      <c r="D182" s="12" t="n">
        <v>253</v>
      </c>
      <c r="E182" s="12" t="s">
        <v>1016</v>
      </c>
      <c r="G182" s="12" t="n">
        <v>14</v>
      </c>
      <c r="H182" s="12" t="s">
        <v>1017</v>
      </c>
      <c r="I182" s="3" t="s">
        <v>1018</v>
      </c>
      <c r="J182" s="12" t="s">
        <v>1019</v>
      </c>
      <c r="K182" s="5" t="n"/>
      <c r="O182" s="5">
        <f>CONCATENATE(Tabell1[[#This Row],[OSM tag]],";",Tabell1[[#This Row],[tillegg]],";",Tabell1[[#This Row],[fixme]])</f>
        <v/>
      </c>
      <c r="P182" s="5" t="s">
        <v>520</v>
      </c>
    </row>
    <row customHeight="1" ht="34" r="183" spans="1:18">
      <c r="A183" s="12" t="n">
        <v>7</v>
      </c>
      <c r="B183" s="12" t="s">
        <v>990</v>
      </c>
      <c r="C183" s="12" t="s">
        <v>991</v>
      </c>
      <c r="D183" s="12" t="n">
        <v>258</v>
      </c>
      <c r="E183" s="12" t="s">
        <v>1020</v>
      </c>
      <c r="G183" s="12" t="n">
        <v>672</v>
      </c>
      <c r="H183" s="12" t="s">
        <v>1021</v>
      </c>
      <c r="I183" s="2" t="s">
        <v>1022</v>
      </c>
      <c r="J183" s="12" t="s">
        <v>1023</v>
      </c>
      <c r="K183" s="5" t="n"/>
      <c r="L183" s="5" t="s">
        <v>1024</v>
      </c>
      <c r="M183" s="12" t="s">
        <v>90</v>
      </c>
      <c r="O183" s="5">
        <f>CONCATENATE(Tabell1[[#This Row],[OSM tag]],";",Tabell1[[#This Row],[tillegg]],";",Tabell1[[#This Row],[fixme]])</f>
        <v/>
      </c>
      <c r="P183" s="5" t="s">
        <v>1025</v>
      </c>
    </row>
    <row customHeight="1" ht="17" r="184" spans="1:18">
      <c r="A184" s="12" t="n">
        <v>3</v>
      </c>
      <c r="B184" s="12" t="s">
        <v>990</v>
      </c>
      <c r="C184" s="12" t="s">
        <v>991</v>
      </c>
      <c r="D184" s="12" t="n">
        <v>263</v>
      </c>
      <c r="E184" s="12" t="s">
        <v>1026</v>
      </c>
      <c r="G184" s="12" t="n">
        <v>25</v>
      </c>
      <c r="H184" s="12" t="s">
        <v>1027</v>
      </c>
      <c r="I184" s="2" t="s">
        <v>1028</v>
      </c>
      <c r="J184" s="12" t="s">
        <v>1029</v>
      </c>
      <c r="K184" s="5" t="n"/>
      <c r="M184" s="12" t="s">
        <v>90</v>
      </c>
      <c r="O184" s="5">
        <f>CONCATENATE(Tabell1[[#This Row],[OSM tag]],";",Tabell1[[#This Row],[tillegg]],";",Tabell1[[#This Row],[fixme]])</f>
        <v/>
      </c>
    </row>
    <row customHeight="1" ht="17" r="185" spans="1:18">
      <c r="A185" s="12" t="n">
        <v>7</v>
      </c>
      <c r="B185" s="12" t="s">
        <v>990</v>
      </c>
      <c r="C185" s="12" t="s">
        <v>991</v>
      </c>
      <c r="D185" s="12" t="n">
        <v>269</v>
      </c>
      <c r="E185" s="7" t="s">
        <v>1030</v>
      </c>
      <c r="G185" s="12" t="n">
        <v>32</v>
      </c>
      <c r="H185" s="12" t="s">
        <v>1031</v>
      </c>
      <c r="I185" s="3" t="s">
        <v>1032</v>
      </c>
      <c r="J185" s="12" t="s">
        <v>1033</v>
      </c>
      <c r="K185" s="5" t="n"/>
      <c r="O185" s="5">
        <f>CONCATENATE(Tabell1[[#This Row],[OSM tag]],";",Tabell1[[#This Row],[tillegg]],";",Tabell1[[#This Row],[fixme]])</f>
        <v/>
      </c>
      <c r="P185" s="5" t="s">
        <v>1034</v>
      </c>
    </row>
    <row customHeight="1" ht="34" r="186" spans="1:18">
      <c r="A186" s="12" t="n">
        <v>7</v>
      </c>
      <c r="B186" s="12" t="s">
        <v>990</v>
      </c>
      <c r="C186" s="12" t="s">
        <v>991</v>
      </c>
      <c r="D186" s="12" t="n">
        <v>270</v>
      </c>
      <c r="E186" s="12" t="s">
        <v>1035</v>
      </c>
      <c r="G186" s="12" t="n">
        <v>3</v>
      </c>
      <c r="H186" s="12" t="s">
        <v>1036</v>
      </c>
      <c r="I186" s="2" t="s">
        <v>1037</v>
      </c>
      <c r="J186" s="12" t="s">
        <v>1038</v>
      </c>
      <c r="K186" s="5" t="n"/>
      <c r="O186" s="5">
        <f>CONCATENATE(Tabell1[[#This Row],[OSM tag]],";",Tabell1[[#This Row],[tillegg]],";",Tabell1[[#This Row],[fixme]])</f>
        <v/>
      </c>
      <c r="P186" s="5" t="s">
        <v>520</v>
      </c>
    </row>
    <row customHeight="1" ht="17" r="187" spans="1:18">
      <c r="B187" s="12" t="s">
        <v>990</v>
      </c>
      <c r="C187" s="12" t="s">
        <v>991</v>
      </c>
      <c r="E187" s="7" t="s">
        <v>1039</v>
      </c>
      <c r="I187" s="2" t="s">
        <v>1040</v>
      </c>
      <c r="J187" s="12" t="n"/>
      <c r="K187" s="5" t="n"/>
      <c r="O187" s="5">
        <f>CONCATENATE(Tabell1[[#This Row],[OSM tag]],";",Tabell1[[#This Row],[tillegg]],";",Tabell1[[#This Row],[fixme]])</f>
        <v/>
      </c>
    </row>
    <row customHeight="1" ht="17" r="188" spans="1:18">
      <c r="A188" s="12" t="n">
        <v>7</v>
      </c>
      <c r="B188" s="12" t="s">
        <v>990</v>
      </c>
      <c r="C188" s="12" t="s">
        <v>1041</v>
      </c>
      <c r="D188" s="12" t="n">
        <v>185</v>
      </c>
      <c r="E188" s="12" t="s">
        <v>1042</v>
      </c>
      <c r="F188" t="n">
        <v>224</v>
      </c>
      <c r="G188" s="12" t="n">
        <v>233</v>
      </c>
      <c r="H188" s="12" t="s">
        <v>1043</v>
      </c>
      <c r="I188" s="2" t="s">
        <v>1044</v>
      </c>
      <c r="J188" s="12" t="s">
        <v>1045</v>
      </c>
      <c r="K188" s="1" t="s">
        <v>1046</v>
      </c>
      <c r="L188" s="9" t="n"/>
      <c r="M188" s="12" t="s">
        <v>90</v>
      </c>
      <c r="O188" s="5">
        <f>CONCATENATE(Tabell1[[#This Row],[OSM tag]],";",Tabell1[[#This Row],[tillegg]],";",Tabell1[[#This Row],[fixme]])</f>
        <v/>
      </c>
    </row>
    <row customHeight="1" ht="17" r="189" spans="1:18">
      <c r="A189" s="12" t="n">
        <v>7</v>
      </c>
      <c r="B189" s="12" t="s">
        <v>990</v>
      </c>
      <c r="C189" s="12" t="s">
        <v>1041</v>
      </c>
      <c r="D189" s="12" t="n">
        <v>186</v>
      </c>
      <c r="E189" s="12" t="s">
        <v>1047</v>
      </c>
      <c r="G189" s="12" t="n">
        <v>3</v>
      </c>
      <c r="H189" s="12" t="s">
        <v>1048</v>
      </c>
      <c r="I189" s="2" t="s">
        <v>1049</v>
      </c>
      <c r="J189" s="12" t="s">
        <v>1050</v>
      </c>
      <c r="K189" s="5" t="n"/>
      <c r="L189" s="5" t="s">
        <v>1051</v>
      </c>
      <c r="O189" s="5">
        <f>CONCATENATE(Tabell1[[#This Row],[OSM tag]],";",Tabell1[[#This Row],[tillegg]],";",Tabell1[[#This Row],[fixme]])</f>
        <v/>
      </c>
    </row>
    <row customHeight="1" ht="51" r="190" spans="1:18">
      <c r="A190" s="12" t="n">
        <v>7</v>
      </c>
      <c r="B190" s="12" t="s">
        <v>990</v>
      </c>
      <c r="C190" s="12" t="s">
        <v>1041</v>
      </c>
      <c r="D190" s="12" t="n">
        <v>187</v>
      </c>
      <c r="E190" s="7" t="s">
        <v>1052</v>
      </c>
      <c r="F190" t="n">
        <v>704</v>
      </c>
      <c r="G190" s="12" t="n">
        <v>302</v>
      </c>
      <c r="H190" s="12" t="s">
        <v>1053</v>
      </c>
      <c r="I190" s="2" t="s">
        <v>1054</v>
      </c>
      <c r="J190" s="12" t="s">
        <v>1055</v>
      </c>
      <c r="K190" s="1" t="s">
        <v>1056</v>
      </c>
      <c r="L190" s="5" t="s">
        <v>1057</v>
      </c>
      <c r="N190" s="5" t="s">
        <v>1058</v>
      </c>
      <c r="O190" s="5">
        <f>CONCATENATE(Tabell1[[#This Row],[OSM tag]],";",Tabell1[[#This Row],[tillegg]],";",Tabell1[[#This Row],[fixme]])</f>
        <v/>
      </c>
      <c r="P190" s="5" t="s">
        <v>1059</v>
      </c>
    </row>
    <row customHeight="1" ht="17" r="191" spans="1:18">
      <c r="A191" s="12" t="n">
        <v>7</v>
      </c>
      <c r="B191" s="12" t="s">
        <v>990</v>
      </c>
      <c r="C191" s="12" t="s">
        <v>1041</v>
      </c>
      <c r="D191" s="12" t="n">
        <v>188</v>
      </c>
      <c r="E191" s="12" t="s">
        <v>1060</v>
      </c>
      <c r="G191" s="12" t="n">
        <v>5</v>
      </c>
      <c r="H191" s="12" t="s">
        <v>1061</v>
      </c>
      <c r="I191" s="2" t="s">
        <v>1062</v>
      </c>
      <c r="J191" s="12" t="s">
        <v>1063</v>
      </c>
      <c r="K191" s="5" t="n"/>
      <c r="O191" s="5">
        <f>CONCATENATE(Tabell1[[#This Row],[OSM tag]],";",Tabell1[[#This Row],[tillegg]],";",Tabell1[[#This Row],[fixme]])</f>
        <v/>
      </c>
      <c r="P191" s="5" t="s">
        <v>520</v>
      </c>
    </row>
    <row customHeight="1" ht="34" r="192" spans="1:18">
      <c r="A192" s="12" t="n">
        <v>8</v>
      </c>
      <c r="B192" s="12" t="s">
        <v>990</v>
      </c>
      <c r="C192" s="12" t="s">
        <v>1041</v>
      </c>
      <c r="D192" s="12" t="n">
        <v>210</v>
      </c>
      <c r="E192" s="12" t="s">
        <v>1064</v>
      </c>
      <c r="F192" t="n">
        <v>96</v>
      </c>
      <c r="G192" s="12" t="n">
        <v>72</v>
      </c>
      <c r="H192" s="12" t="s">
        <v>1065</v>
      </c>
      <c r="I192" s="2" t="s">
        <v>1066</v>
      </c>
      <c r="J192" s="12" t="s">
        <v>1067</v>
      </c>
      <c r="K192" s="1" t="s"/>
      <c r="L192" s="5" t="s">
        <v>1068</v>
      </c>
      <c r="N192" s="5" t="s">
        <v>1069</v>
      </c>
      <c r="O192" s="5">
        <f>CONCATENATE(Tabell1[[#This Row],[OSM tag]],";",Tabell1[[#This Row],[tillegg]],";",Tabell1[[#This Row],[fixme]])</f>
        <v/>
      </c>
    </row>
    <row customHeight="1" ht="17" r="193" spans="1:18">
      <c r="A193" s="12" t="n">
        <v>4</v>
      </c>
      <c r="B193" s="12" t="s">
        <v>1070</v>
      </c>
      <c r="C193" s="12" t="s">
        <v>1071</v>
      </c>
      <c r="D193" s="12" t="n">
        <v>298</v>
      </c>
      <c r="E193" s="12" t="s">
        <v>1072</v>
      </c>
      <c r="G193" s="12" t="n">
        <v>2</v>
      </c>
      <c r="H193" s="12" t="s">
        <v>1073</v>
      </c>
      <c r="I193" s="2" t="s">
        <v>1074</v>
      </c>
      <c r="J193" s="12" t="s">
        <v>327</v>
      </c>
      <c r="K193" s="5" t="n"/>
      <c r="M193" s="12" t="s">
        <v>90</v>
      </c>
      <c r="O193" s="5">
        <f>CONCATENATE(Tabell1[[#This Row],[OSM tag]],";",Tabell1[[#This Row],[tillegg]],";",Tabell1[[#This Row],[fixme]])</f>
        <v/>
      </c>
    </row>
    <row customHeight="1" ht="17" r="194" spans="1:18">
      <c r="A194" s="12" t="n">
        <v>4</v>
      </c>
      <c r="B194" s="12" t="s">
        <v>1070</v>
      </c>
      <c r="C194" s="12" t="s">
        <v>1075</v>
      </c>
      <c r="D194" s="12" t="n">
        <v>80</v>
      </c>
      <c r="E194" s="12" t="s">
        <v>1076</v>
      </c>
      <c r="F194" t="n">
        <v>1736</v>
      </c>
      <c r="G194" s="12" t="n">
        <v>1901</v>
      </c>
      <c r="H194" s="12" t="s">
        <v>1077</v>
      </c>
      <c r="I194" s="2" t="s">
        <v>1078</v>
      </c>
      <c r="J194" s="12" t="s">
        <v>1079</v>
      </c>
      <c r="K194" s="1" t="s">
        <v>1080</v>
      </c>
      <c r="L194" s="5" t="s">
        <v>1081</v>
      </c>
      <c r="O194" s="5">
        <f>CONCATENATE(Tabell1[[#This Row],[OSM tag]],";",Tabell1[[#This Row],[tillegg]],";",Tabell1[[#This Row],[fixme]])</f>
        <v/>
      </c>
      <c r="P194" s="5" t="s">
        <v>1082</v>
      </c>
    </row>
    <row customHeight="1" ht="17" r="195" spans="1:18">
      <c r="A195" s="12" t="n">
        <v>4</v>
      </c>
      <c r="B195" s="12" t="s">
        <v>1070</v>
      </c>
      <c r="C195" s="12" t="s">
        <v>1075</v>
      </c>
      <c r="D195" s="12" t="n">
        <v>81</v>
      </c>
      <c r="E195" s="12" t="s">
        <v>1083</v>
      </c>
      <c r="G195" s="12" t="n">
        <v>66</v>
      </c>
      <c r="H195" s="12" t="s">
        <v>1084</v>
      </c>
      <c r="I195" s="2" t="s">
        <v>1085</v>
      </c>
      <c r="J195" s="12" t="s">
        <v>1086</v>
      </c>
      <c r="K195" s="5" t="n"/>
      <c r="L195" s="5" t="s">
        <v>1087</v>
      </c>
      <c r="O195" s="5">
        <f>CONCATENATE(Tabell1[[#This Row],[OSM tag]],";",Tabell1[[#This Row],[tillegg]],";",Tabell1[[#This Row],[fixme]])</f>
        <v/>
      </c>
    </row>
    <row customHeight="1" ht="17" r="196" spans="1:18">
      <c r="A196" s="12" t="n">
        <v>4</v>
      </c>
      <c r="B196" s="12" t="s">
        <v>1070</v>
      </c>
      <c r="C196" s="12" t="s">
        <v>1075</v>
      </c>
      <c r="D196" s="12" t="n">
        <v>241</v>
      </c>
      <c r="E196" s="12" t="s">
        <v>1088</v>
      </c>
      <c r="G196" s="12" t="n">
        <v>6</v>
      </c>
      <c r="H196" s="12" t="s">
        <v>1089</v>
      </c>
      <c r="I196" s="2" t="s">
        <v>1090</v>
      </c>
      <c r="J196" s="12" t="s">
        <v>1091</v>
      </c>
      <c r="K196" s="5" t="n"/>
      <c r="L196" s="5" t="s">
        <v>1081</v>
      </c>
      <c r="M196" s="12" t="n"/>
      <c r="O196" s="5">
        <f>CONCATENATE(Tabell1[[#This Row],[OSM tag]],";",Tabell1[[#This Row],[tillegg]],";",Tabell1[[#This Row],[fixme]])</f>
        <v/>
      </c>
    </row>
    <row customHeight="1" ht="34" r="197" spans="1:18">
      <c r="A197" s="12" t="n">
        <v>4</v>
      </c>
      <c r="B197" s="12" t="s">
        <v>1070</v>
      </c>
      <c r="C197" s="12" t="s">
        <v>1075</v>
      </c>
      <c r="D197" s="12" t="n">
        <v>255</v>
      </c>
      <c r="E197" s="12" t="s">
        <v>1092</v>
      </c>
      <c r="F197" t="n">
        <v>131</v>
      </c>
      <c r="G197" s="12" t="n">
        <v>119</v>
      </c>
      <c r="H197" s="12" t="s">
        <v>1093</v>
      </c>
      <c r="I197" s="2" t="s">
        <v>1094</v>
      </c>
      <c r="J197" s="12" t="s">
        <v>1095</v>
      </c>
      <c r="K197" s="1" t="s">
        <v>453</v>
      </c>
      <c r="M197" s="12" t="s">
        <v>90</v>
      </c>
      <c r="O197" s="5">
        <f>CONCATENATE(Tabell1[[#This Row],[OSM tag]],";",Tabell1[[#This Row],[tillegg]],";",Tabell1[[#This Row],[fixme]])</f>
        <v/>
      </c>
      <c r="P197" s="5" t="s">
        <v>1096</v>
      </c>
    </row>
    <row customHeight="1" ht="17" r="198" spans="1:18">
      <c r="A198" s="12" t="n">
        <v>4</v>
      </c>
      <c r="B198" s="12" t="s">
        <v>1070</v>
      </c>
      <c r="C198" s="12" t="s">
        <v>1075</v>
      </c>
      <c r="D198" s="12" t="n">
        <v>256</v>
      </c>
      <c r="E198" s="12" t="s">
        <v>1097</v>
      </c>
      <c r="F198" t="n">
        <v>52</v>
      </c>
      <c r="G198" s="12" t="n">
        <v>46</v>
      </c>
      <c r="H198" s="12" t="s">
        <v>1098</v>
      </c>
      <c r="I198" s="2" t="s">
        <v>1099</v>
      </c>
      <c r="J198" s="12" t="s">
        <v>1100</v>
      </c>
      <c r="K198" s="1" t="s"/>
      <c r="M198" s="12" t="s">
        <v>90</v>
      </c>
      <c r="O198" s="5">
        <f>CONCATENATE(Tabell1[[#This Row],[OSM tag]],";",Tabell1[[#This Row],[tillegg]],";",Tabell1[[#This Row],[fixme]])</f>
        <v/>
      </c>
      <c r="P198" s="5" t="s">
        <v>1096</v>
      </c>
    </row>
    <row customHeight="1" ht="34" r="199" spans="1:18">
      <c r="A199" s="12" t="n">
        <v>4</v>
      </c>
      <c r="B199" s="12" t="s">
        <v>1070</v>
      </c>
      <c r="C199" s="12" t="s">
        <v>1075</v>
      </c>
      <c r="D199" s="12" t="n">
        <v>308</v>
      </c>
      <c r="E199" s="12" t="s">
        <v>1101</v>
      </c>
      <c r="G199" s="12" t="n">
        <v>1</v>
      </c>
      <c r="H199" s="12" t="s">
        <v>1102</v>
      </c>
      <c r="I199" s="2" t="s">
        <v>1103</v>
      </c>
      <c r="J199" s="12" t="s">
        <v>1104</v>
      </c>
      <c r="K199" s="5" t="n"/>
      <c r="O199" s="5">
        <f>CONCATENATE(Tabell1[[#This Row],[OSM tag]],";",Tabell1[[#This Row],[tillegg]],";",Tabell1[[#This Row],[fixme]])</f>
        <v/>
      </c>
    </row>
    <row customHeight="1" ht="34" r="200" spans="1:18">
      <c r="B200" s="12" t="s">
        <v>1070</v>
      </c>
      <c r="C200" s="12" t="s">
        <v>1075</v>
      </c>
      <c r="E200" s="12" t="s">
        <v>1105</v>
      </c>
      <c r="I200" s="2" t="s">
        <v>1106</v>
      </c>
      <c r="J200" s="12" t="n"/>
      <c r="K200" s="5" t="n"/>
      <c r="L200" s="5" t="s">
        <v>1087</v>
      </c>
      <c r="O200" s="5">
        <f>CONCATENATE(Tabell1[[#This Row],[OSM tag]],";",Tabell1[[#This Row],[tillegg]],";",Tabell1[[#This Row],[fixme]])</f>
        <v/>
      </c>
    </row>
    <row customHeight="1" ht="34" r="201" spans="1:18">
      <c r="A201" s="12" t="n">
        <v>4</v>
      </c>
      <c r="B201" s="12" t="s">
        <v>1070</v>
      </c>
      <c r="C201" s="12" t="s">
        <v>1107</v>
      </c>
      <c r="D201" s="12" t="n">
        <v>90</v>
      </c>
      <c r="E201" s="12" t="s">
        <v>1108</v>
      </c>
      <c r="F201" t="n">
        <v>14021</v>
      </c>
      <c r="G201" s="12" t="n">
        <v>13989</v>
      </c>
      <c r="H201" s="12" t="s">
        <v>1109</v>
      </c>
      <c r="I201" s="2" t="s">
        <v>1110</v>
      </c>
      <c r="J201" s="12" t="s">
        <v>384</v>
      </c>
      <c r="K201" s="1" t="s">
        <v>1111</v>
      </c>
      <c r="L201" s="5" t="s">
        <v>353</v>
      </c>
      <c r="N201" s="5" t="s">
        <v>1112</v>
      </c>
      <c r="O201" s="5">
        <f>CONCATENATE(Tabell1[[#This Row],[OSM tag]],";",Tabell1[[#This Row],[tillegg]],";",Tabell1[[#This Row],[fixme]])</f>
        <v/>
      </c>
    </row>
    <row customHeight="1" ht="17" r="202" spans="1:18">
      <c r="A202" s="12" t="n">
        <v>4</v>
      </c>
      <c r="B202" s="12" t="s">
        <v>1070</v>
      </c>
      <c r="C202" s="12" t="s">
        <v>1107</v>
      </c>
      <c r="D202" s="12" t="n">
        <v>91</v>
      </c>
      <c r="E202" s="12" t="s">
        <v>1113</v>
      </c>
      <c r="F202" t="n">
        <v>1266</v>
      </c>
      <c r="G202" s="12" t="n">
        <v>1206</v>
      </c>
      <c r="H202" s="12" t="s">
        <v>1114</v>
      </c>
      <c r="I202" s="2" t="s">
        <v>1115</v>
      </c>
      <c r="J202" s="12" t="s">
        <v>389</v>
      </c>
      <c r="K202" s="1" t="s">
        <v>1116</v>
      </c>
      <c r="L202" s="5" t="s">
        <v>390</v>
      </c>
      <c r="M202" s="12" t="s">
        <v>90</v>
      </c>
      <c r="O202" s="5">
        <f>CONCATENATE(Tabell1[[#This Row],[OSM tag]],";",Tabell1[[#This Row],[tillegg]],";",Tabell1[[#This Row],[fixme]])</f>
        <v/>
      </c>
      <c r="P202" s="5" t="s">
        <v>391</v>
      </c>
    </row>
    <row customHeight="1" ht="17" r="203" spans="1:18">
      <c r="A203" s="12" t="n">
        <v>4</v>
      </c>
      <c r="B203" s="12" t="s">
        <v>1070</v>
      </c>
      <c r="C203" s="12" t="s">
        <v>1107</v>
      </c>
      <c r="D203" s="12" t="n">
        <v>92</v>
      </c>
      <c r="E203" s="12" t="s">
        <v>1117</v>
      </c>
      <c r="F203" t="n">
        <v>13669</v>
      </c>
      <c r="G203" s="12" t="n">
        <v>13694</v>
      </c>
      <c r="H203" s="12" t="s">
        <v>1118</v>
      </c>
      <c r="I203" s="2" t="s">
        <v>1119</v>
      </c>
      <c r="J203" s="12" t="s">
        <v>1120</v>
      </c>
      <c r="K203" s="1" t="s">
        <v>1121</v>
      </c>
      <c r="L203" s="5" t="s">
        <v>397</v>
      </c>
      <c r="M203" s="12" t="s">
        <v>90</v>
      </c>
      <c r="O203" s="5">
        <f>CONCATENATE(Tabell1[[#This Row],[OSM tag]],";",Tabell1[[#This Row],[tillegg]],";",Tabell1[[#This Row],[fixme]])</f>
        <v/>
      </c>
    </row>
    <row customHeight="1" ht="17" r="204" spans="1:18">
      <c r="A204" s="12" t="n">
        <v>4</v>
      </c>
      <c r="B204" s="12" t="s">
        <v>1070</v>
      </c>
      <c r="C204" s="12" t="s">
        <v>1107</v>
      </c>
      <c r="D204" s="12" t="n">
        <v>217</v>
      </c>
      <c r="E204" s="12" t="s">
        <v>1122</v>
      </c>
      <c r="G204" s="12" t="n">
        <v>54</v>
      </c>
      <c r="H204" s="12" t="s">
        <v>1123</v>
      </c>
      <c r="I204" s="2" t="s">
        <v>1124</v>
      </c>
      <c r="J204" s="12" t="s">
        <v>1125</v>
      </c>
      <c r="K204" s="5" t="n"/>
      <c r="L204" s="5" t="s">
        <v>397</v>
      </c>
      <c r="M204" s="12" t="n"/>
      <c r="O204" s="5">
        <f>CONCATENATE(Tabell1[[#This Row],[OSM tag]],";",Tabell1[[#This Row],[tillegg]],";",Tabell1[[#This Row],[fixme]])</f>
        <v/>
      </c>
    </row>
    <row customHeight="1" ht="17" r="205" spans="1:18">
      <c r="B205" s="12" t="s">
        <v>1070</v>
      </c>
      <c r="C205" s="12" t="s">
        <v>1107</v>
      </c>
      <c r="E205" s="7" t="s">
        <v>1126</v>
      </c>
      <c r="I205" s="2" t="s">
        <v>1127</v>
      </c>
      <c r="J205" s="12" t="n"/>
      <c r="K205" s="5" t="n"/>
      <c r="L205" s="5" t="s">
        <v>397</v>
      </c>
      <c r="M205" s="10" t="s">
        <v>90</v>
      </c>
      <c r="O205" s="5">
        <f>CONCATENATE(Tabell1[[#This Row],[OSM tag]],";",Tabell1[[#This Row],[tillegg]],";",Tabell1[[#This Row],[fixme]])</f>
        <v/>
      </c>
    </row>
    <row customHeight="1" ht="17" r="206" spans="1:18">
      <c r="A206" s="12" t="n">
        <v>4</v>
      </c>
      <c r="B206" s="12" t="s">
        <v>1070</v>
      </c>
      <c r="C206" s="12" t="s">
        <v>1128</v>
      </c>
      <c r="D206" s="12" t="n">
        <v>82</v>
      </c>
      <c r="E206" s="12" t="s">
        <v>1129</v>
      </c>
      <c r="F206" t="n">
        <v>4708</v>
      </c>
      <c r="G206" s="12" t="n">
        <v>4494</v>
      </c>
      <c r="H206" s="12" t="s">
        <v>1130</v>
      </c>
      <c r="I206" s="2" t="s">
        <v>1131</v>
      </c>
      <c r="J206" s="12" t="s">
        <v>1132</v>
      </c>
      <c r="K206" s="1" t="s">
        <v>1133</v>
      </c>
      <c r="L206" s="5" t="s">
        <v>335</v>
      </c>
      <c r="O206" s="5">
        <f>CONCATENATE(Tabell1[[#This Row],[OSM tag]],";",Tabell1[[#This Row],[tillegg]],";",Tabell1[[#This Row],[fixme]])</f>
        <v/>
      </c>
    </row>
    <row customHeight="1" ht="17" r="207" spans="1:18">
      <c r="A207" s="12" t="n">
        <v>4</v>
      </c>
      <c r="B207" s="12" t="s">
        <v>1070</v>
      </c>
      <c r="C207" s="12" t="s">
        <v>1128</v>
      </c>
      <c r="D207" s="12" t="n">
        <v>83</v>
      </c>
      <c r="E207" s="7" t="s">
        <v>1134</v>
      </c>
      <c r="F207" t="n">
        <v>26672</v>
      </c>
      <c r="G207" s="12" t="n">
        <v>26737</v>
      </c>
      <c r="H207" s="12" t="s">
        <v>1135</v>
      </c>
      <c r="I207" s="2" t="s">
        <v>1136</v>
      </c>
      <c r="J207" s="12" t="s">
        <v>1137</v>
      </c>
      <c r="K207" s="1" t="s">
        <v>1138</v>
      </c>
      <c r="L207" s="5" t="s">
        <v>341</v>
      </c>
      <c r="M207" s="12" t="n"/>
      <c r="O207" s="5">
        <f>CONCATENATE(Tabell1[[#This Row],[OSM tag]],";",Tabell1[[#This Row],[tillegg]],";",Tabell1[[#This Row],[fixme]])</f>
        <v/>
      </c>
    </row>
    <row customHeight="1" ht="17" r="208" spans="1:18">
      <c r="A208" s="12" t="n">
        <v>4</v>
      </c>
      <c r="B208" s="12" t="s">
        <v>1070</v>
      </c>
      <c r="C208" s="12" t="s">
        <v>1128</v>
      </c>
      <c r="D208" s="12" t="n">
        <v>84</v>
      </c>
      <c r="E208" s="7" t="s">
        <v>1139</v>
      </c>
      <c r="F208" t="n">
        <v>4004</v>
      </c>
      <c r="G208" s="12" t="n">
        <v>4179</v>
      </c>
      <c r="H208" s="12" t="s">
        <v>1140</v>
      </c>
      <c r="I208" s="2" t="s">
        <v>1141</v>
      </c>
      <c r="J208" s="12" t="s">
        <v>1142</v>
      </c>
      <c r="K208" s="1" t="s">
        <v>1143</v>
      </c>
      <c r="L208" s="5" t="s">
        <v>347</v>
      </c>
      <c r="O208" s="5">
        <f>CONCATENATE(Tabell1[[#This Row],[OSM tag]],";",Tabell1[[#This Row],[tillegg]],";",Tabell1[[#This Row],[fixme]])</f>
        <v/>
      </c>
    </row>
    <row customHeight="1" ht="17" r="209" spans="1:18">
      <c r="A209" s="12" t="n">
        <v>4</v>
      </c>
      <c r="B209" s="12" t="s">
        <v>1070</v>
      </c>
      <c r="C209" s="12" t="s">
        <v>1128</v>
      </c>
      <c r="D209" s="12" t="n">
        <v>85</v>
      </c>
      <c r="E209" s="12" t="s">
        <v>1144</v>
      </c>
      <c r="F209" t="n">
        <v>19915</v>
      </c>
      <c r="G209" s="12" t="n">
        <v>20058</v>
      </c>
      <c r="H209" s="12" t="s">
        <v>1145</v>
      </c>
      <c r="I209" s="2" t="s">
        <v>1146</v>
      </c>
      <c r="J209" s="12" t="s">
        <v>1147</v>
      </c>
      <c r="K209" s="1" t="s">
        <v>1148</v>
      </c>
      <c r="L209" s="5" t="s">
        <v>353</v>
      </c>
      <c r="O209" s="5">
        <f>CONCATENATE(Tabell1[[#This Row],[OSM tag]],";",Tabell1[[#This Row],[tillegg]],";",Tabell1[[#This Row],[fixme]])</f>
        <v/>
      </c>
    </row>
    <row customHeight="1" ht="17" r="210" spans="1:18">
      <c r="A210" s="12" t="n">
        <v>4</v>
      </c>
      <c r="B210" s="12" t="s">
        <v>1070</v>
      </c>
      <c r="C210" s="12" t="s">
        <v>1128</v>
      </c>
      <c r="D210" s="12" t="n">
        <v>86</v>
      </c>
      <c r="E210" s="12" t="s">
        <v>1149</v>
      </c>
      <c r="F210" t="n">
        <v>518</v>
      </c>
      <c r="G210" s="12" t="n">
        <v>495</v>
      </c>
      <c r="H210" s="12" t="s">
        <v>1150</v>
      </c>
      <c r="I210" s="2" t="s">
        <v>1151</v>
      </c>
      <c r="J210" s="12" t="s">
        <v>1152</v>
      </c>
      <c r="K210" s="1" t="s">
        <v>1153</v>
      </c>
      <c r="L210" s="5" t="s">
        <v>359</v>
      </c>
      <c r="O210" s="5">
        <f>CONCATENATE(Tabell1[[#This Row],[OSM tag]],";",Tabell1[[#This Row],[tillegg]],";",Tabell1[[#This Row],[fixme]])</f>
        <v/>
      </c>
    </row>
    <row customHeight="1" ht="17" r="211" spans="1:18">
      <c r="A211" s="12" t="n">
        <v>4</v>
      </c>
      <c r="B211" s="12" t="s">
        <v>1070</v>
      </c>
      <c r="C211" s="12" t="s">
        <v>1128</v>
      </c>
      <c r="D211" s="12" t="n">
        <v>87</v>
      </c>
      <c r="E211" s="12" t="s">
        <v>1154</v>
      </c>
      <c r="F211" t="n">
        <v>23280</v>
      </c>
      <c r="G211" s="12" t="n">
        <v>24024</v>
      </c>
      <c r="H211" s="12" t="s">
        <v>1155</v>
      </c>
      <c r="I211" s="2" t="s">
        <v>1156</v>
      </c>
      <c r="J211" s="12" t="s">
        <v>1157</v>
      </c>
      <c r="K211" s="1" t="s">
        <v>1158</v>
      </c>
      <c r="L211" s="5" t="s">
        <v>359</v>
      </c>
      <c r="M211" s="11" t="n"/>
      <c r="O211" s="5">
        <f>CONCATENATE(Tabell1[[#This Row],[OSM tag]],";",Tabell1[[#This Row],[tillegg]],";",Tabell1[[#This Row],[fixme]])</f>
        <v/>
      </c>
    </row>
    <row customHeight="1" ht="34" r="212" spans="1:18">
      <c r="A212" s="12" t="n">
        <v>4</v>
      </c>
      <c r="B212" s="12" t="s">
        <v>1070</v>
      </c>
      <c r="C212" s="12" t="s">
        <v>1128</v>
      </c>
      <c r="D212" s="12" t="n">
        <v>88</v>
      </c>
      <c r="E212" s="12" t="s">
        <v>1159</v>
      </c>
      <c r="F212" t="n">
        <v>227</v>
      </c>
      <c r="G212" s="12" t="n">
        <v>240</v>
      </c>
      <c r="H212" s="12" t="s">
        <v>1160</v>
      </c>
      <c r="I212" s="2" t="s">
        <v>1161</v>
      </c>
      <c r="J212" s="12" t="s">
        <v>1162</v>
      </c>
      <c r="K212" s="1" t="s">
        <v>1046</v>
      </c>
      <c r="M212" s="5" t="s">
        <v>90</v>
      </c>
      <c r="O212" s="5">
        <f>CONCATENATE(Tabell1[[#This Row],[OSM tag]],";",Tabell1[[#This Row],[tillegg]],";",Tabell1[[#This Row],[fixme]])</f>
        <v/>
      </c>
    </row>
    <row customHeight="1" ht="17" r="213" spans="1:18">
      <c r="A213" s="12" t="n">
        <v>4</v>
      </c>
      <c r="B213" s="12" t="s">
        <v>1070</v>
      </c>
      <c r="C213" s="12" t="s">
        <v>1128</v>
      </c>
      <c r="D213" s="12" t="n">
        <v>89</v>
      </c>
      <c r="E213" s="12" t="s">
        <v>1163</v>
      </c>
      <c r="F213" t="n">
        <v>2357</v>
      </c>
      <c r="G213" s="12" t="n">
        <v>2328</v>
      </c>
      <c r="H213" s="12" t="s">
        <v>1164</v>
      </c>
      <c r="I213" s="2" t="s">
        <v>1165</v>
      </c>
      <c r="J213" s="12" t="s">
        <v>1166</v>
      </c>
      <c r="K213" s="1" t="s">
        <v>1167</v>
      </c>
      <c r="L213" s="5" t="s">
        <v>375</v>
      </c>
      <c r="M213" s="12" t="s">
        <v>90</v>
      </c>
      <c r="O213" s="5">
        <f>CONCATENATE(Tabell1[[#This Row],[OSM tag]],";",Tabell1[[#This Row],[tillegg]],";",Tabell1[[#This Row],[fixme]])</f>
        <v/>
      </c>
    </row>
    <row customHeight="1" ht="17" r="214" spans="1:18">
      <c r="A214" s="12" t="n">
        <v>4</v>
      </c>
      <c r="B214" s="12" t="s">
        <v>1070</v>
      </c>
      <c r="C214" s="12" t="s">
        <v>1128</v>
      </c>
      <c r="D214" s="12" t="n">
        <v>215</v>
      </c>
      <c r="E214" s="7" t="s">
        <v>1168</v>
      </c>
      <c r="F214" t="n">
        <v>1442</v>
      </c>
      <c r="G214" s="12" t="n">
        <v>1405</v>
      </c>
      <c r="H214" s="12" t="s">
        <v>1169</v>
      </c>
      <c r="I214" s="2" t="s">
        <v>1170</v>
      </c>
      <c r="J214" s="12" t="s">
        <v>1171</v>
      </c>
      <c r="K214" s="1" t="s">
        <v>1172</v>
      </c>
      <c r="L214" s="5" t="s">
        <v>341</v>
      </c>
      <c r="M214" s="12" t="n"/>
      <c r="O214" s="5">
        <f>CONCATENATE(Tabell1[[#This Row],[OSM tag]],";",Tabell1[[#This Row],[tillegg]],";",Tabell1[[#This Row],[fixme]])</f>
        <v/>
      </c>
    </row>
    <row customHeight="1" ht="17" r="215" spans="1:18">
      <c r="A215" s="12" t="n">
        <v>4</v>
      </c>
      <c r="B215" s="12" t="s">
        <v>1070</v>
      </c>
      <c r="C215" s="12" t="s">
        <v>1128</v>
      </c>
      <c r="D215" s="12" t="n">
        <v>216</v>
      </c>
      <c r="E215" s="7" t="s">
        <v>1173</v>
      </c>
      <c r="F215" t="n">
        <v>388</v>
      </c>
      <c r="G215" s="12" t="n">
        <v>351</v>
      </c>
      <c r="H215" s="12" t="s">
        <v>1174</v>
      </c>
      <c r="I215" s="2" t="s">
        <v>1175</v>
      </c>
      <c r="J215" s="12" t="s">
        <v>1176</v>
      </c>
      <c r="K215" s="1" t="s">
        <v>1177</v>
      </c>
      <c r="L215" s="5" t="s">
        <v>347</v>
      </c>
      <c r="O215" s="5">
        <f>CONCATENATE(Tabell1[[#This Row],[OSM tag]],";",Tabell1[[#This Row],[tillegg]],";",Tabell1[[#This Row],[fixme]])</f>
        <v/>
      </c>
    </row>
    <row customHeight="1" ht="17" r="216" spans="1:18">
      <c r="A216" s="12" t="n">
        <v>4</v>
      </c>
      <c r="B216" s="12" t="s">
        <v>1070</v>
      </c>
      <c r="C216" s="12" t="s">
        <v>1128</v>
      </c>
      <c r="D216" s="12" t="n">
        <v>265</v>
      </c>
      <c r="E216" s="12" t="s">
        <v>1178</v>
      </c>
      <c r="F216" t="n">
        <v>484</v>
      </c>
      <c r="G216" s="12" t="n">
        <v>318</v>
      </c>
      <c r="H216" s="12" t="s">
        <v>1179</v>
      </c>
      <c r="I216" s="2" t="s">
        <v>1180</v>
      </c>
      <c r="J216" s="12" t="s">
        <v>1181</v>
      </c>
      <c r="K216" s="1" t="s">
        <v>1182</v>
      </c>
      <c r="L216" s="5" t="s">
        <v>353</v>
      </c>
      <c r="M216" s="11" t="n"/>
      <c r="O216" s="5">
        <f>CONCATENATE(Tabell1[[#This Row],[OSM tag]],";",Tabell1[[#This Row],[tillegg]],";",Tabell1[[#This Row],[fixme]])</f>
        <v/>
      </c>
    </row>
    <row customHeight="1" ht="17" r="217" spans="1:18">
      <c r="A217" s="12" t="n">
        <v>4</v>
      </c>
      <c r="B217" s="12" t="s">
        <v>1070</v>
      </c>
      <c r="C217" s="12" t="s">
        <v>1183</v>
      </c>
      <c r="D217" s="12" t="n">
        <v>93</v>
      </c>
      <c r="E217" s="12" t="s">
        <v>1184</v>
      </c>
      <c r="F217" t="n">
        <v>109</v>
      </c>
      <c r="G217" s="12" t="n">
        <v>109</v>
      </c>
      <c r="H217" s="12" t="s">
        <v>1185</v>
      </c>
      <c r="I217" s="2" t="s">
        <v>1186</v>
      </c>
      <c r="J217" s="12" t="s">
        <v>1187</v>
      </c>
      <c r="K217" s="1" t="s"/>
      <c r="M217" s="12" t="s">
        <v>90</v>
      </c>
      <c r="O217" s="5">
        <f>CONCATENATE(Tabell1[[#This Row],[OSM tag]],";",Tabell1[[#This Row],[tillegg]],";",Tabell1[[#This Row],[fixme]])</f>
        <v/>
      </c>
    </row>
    <row customHeight="1" ht="17" r="218" spans="1:18">
      <c r="A218" s="12" t="n">
        <v>4</v>
      </c>
      <c r="B218" s="12" t="s">
        <v>1070</v>
      </c>
      <c r="C218" s="12" t="s">
        <v>1183</v>
      </c>
      <c r="D218" s="12" t="n">
        <v>94</v>
      </c>
      <c r="E218" s="12" t="s">
        <v>1188</v>
      </c>
      <c r="G218" s="12" t="n">
        <v>54</v>
      </c>
      <c r="H218" s="12" t="s">
        <v>1189</v>
      </c>
      <c r="I218" s="2" t="s">
        <v>1190</v>
      </c>
      <c r="J218" s="12" t="s">
        <v>1191</v>
      </c>
      <c r="K218" s="5" t="n"/>
      <c r="M218" s="11" t="s">
        <v>90</v>
      </c>
      <c r="O218" s="5">
        <f>CONCATENATE(Tabell1[[#This Row],[OSM tag]],";",Tabell1[[#This Row],[tillegg]],";",Tabell1[[#This Row],[fixme]])</f>
        <v/>
      </c>
    </row>
    <row customHeight="1" ht="17" r="219" spans="1:18">
      <c r="A219" s="12" t="n">
        <v>4</v>
      </c>
      <c r="B219" s="12" t="s">
        <v>1070</v>
      </c>
      <c r="C219" s="12" t="s">
        <v>1183</v>
      </c>
      <c r="D219" s="12" t="n">
        <v>95</v>
      </c>
      <c r="E219" s="12" t="s">
        <v>1192</v>
      </c>
      <c r="G219" s="12" t="n">
        <v>78</v>
      </c>
      <c r="H219" s="12" t="s">
        <v>1193</v>
      </c>
      <c r="I219" s="2" t="s">
        <v>1194</v>
      </c>
      <c r="J219" s="12" t="s">
        <v>1195</v>
      </c>
      <c r="K219" s="5" t="n"/>
      <c r="M219" s="11" t="s">
        <v>90</v>
      </c>
      <c r="O219" s="5">
        <f>CONCATENATE(Tabell1[[#This Row],[OSM tag]],";",Tabell1[[#This Row],[tillegg]],";",Tabell1[[#This Row],[fixme]])</f>
        <v/>
      </c>
    </row>
    <row customHeight="1" ht="17" r="220" spans="1:18">
      <c r="A220" s="12" t="n">
        <v>4</v>
      </c>
      <c r="B220" s="12" t="s">
        <v>1070</v>
      </c>
      <c r="C220" s="12" t="s">
        <v>1183</v>
      </c>
      <c r="D220" s="12" t="n">
        <v>96</v>
      </c>
      <c r="E220" s="12" t="s">
        <v>1196</v>
      </c>
      <c r="G220" s="12" t="n">
        <v>72</v>
      </c>
      <c r="H220" s="12" t="s">
        <v>1197</v>
      </c>
      <c r="I220" s="2" t="s">
        <v>1198</v>
      </c>
      <c r="J220" s="12" t="s">
        <v>1199</v>
      </c>
      <c r="K220" s="5" t="n"/>
      <c r="M220" s="12" t="s">
        <v>90</v>
      </c>
      <c r="O220" s="5">
        <f>CONCATENATE(Tabell1[[#This Row],[OSM tag]],";",Tabell1[[#This Row],[tillegg]],";",Tabell1[[#This Row],[fixme]])</f>
        <v/>
      </c>
    </row>
    <row customHeight="1" ht="17" r="221" spans="1:18">
      <c r="A221" s="12" t="n">
        <v>4</v>
      </c>
      <c r="B221" s="12" t="s">
        <v>1070</v>
      </c>
      <c r="C221" s="12" t="s">
        <v>1183</v>
      </c>
      <c r="D221" s="12" t="n">
        <v>97</v>
      </c>
      <c r="E221" s="7" t="s">
        <v>1200</v>
      </c>
      <c r="G221" s="12" t="n">
        <v>39</v>
      </c>
      <c r="H221" s="12" t="s">
        <v>1201</v>
      </c>
      <c r="I221" s="2" t="s">
        <v>1202</v>
      </c>
      <c r="J221" s="12" t="s">
        <v>1203</v>
      </c>
      <c r="K221" s="5" t="n"/>
      <c r="M221" s="11" t="s">
        <v>90</v>
      </c>
      <c r="O221" s="5">
        <f>CONCATENATE(Tabell1[[#This Row],[OSM tag]],";",Tabell1[[#This Row],[tillegg]],";",Tabell1[[#This Row],[fixme]])</f>
        <v/>
      </c>
    </row>
    <row customHeight="1" ht="17" r="222" spans="1:18">
      <c r="A222" s="12" t="n">
        <v>4</v>
      </c>
      <c r="B222" s="12" t="s">
        <v>1070</v>
      </c>
      <c r="C222" s="12" t="s">
        <v>1183</v>
      </c>
      <c r="D222" s="12" t="n">
        <v>98</v>
      </c>
      <c r="E222" s="12" t="s">
        <v>1204</v>
      </c>
      <c r="G222" s="12" t="n">
        <v>58</v>
      </c>
      <c r="H222" s="12" t="s">
        <v>1205</v>
      </c>
      <c r="I222" s="2" t="s">
        <v>1206</v>
      </c>
      <c r="J222" s="12" t="s">
        <v>1207</v>
      </c>
      <c r="K222" s="5" t="n"/>
      <c r="M222" s="12" t="s">
        <v>90</v>
      </c>
      <c r="O222" s="5">
        <f>CONCATENATE(Tabell1[[#This Row],[OSM tag]],";",Tabell1[[#This Row],[tillegg]],";",Tabell1[[#This Row],[fixme]])</f>
        <v/>
      </c>
    </row>
    <row customHeight="1" ht="17" r="223" spans="1:18">
      <c r="A223" s="12" t="n">
        <v>4</v>
      </c>
      <c r="B223" s="12" t="s">
        <v>1070</v>
      </c>
      <c r="C223" s="12" t="s">
        <v>1183</v>
      </c>
      <c r="D223" s="12" t="n">
        <v>99</v>
      </c>
      <c r="E223" s="12" t="s">
        <v>1208</v>
      </c>
      <c r="G223" s="12" t="n">
        <v>15</v>
      </c>
      <c r="H223" s="12" t="s">
        <v>1209</v>
      </c>
      <c r="I223" s="2" t="s">
        <v>1210</v>
      </c>
      <c r="J223" s="12" t="s">
        <v>1211</v>
      </c>
      <c r="K223" s="5" t="n"/>
      <c r="M223" s="12" t="s">
        <v>90</v>
      </c>
      <c r="O223" s="5">
        <f>CONCATENATE(Tabell1[[#This Row],[OSM tag]],";",Tabell1[[#This Row],[tillegg]],";",Tabell1[[#This Row],[fixme]])</f>
        <v/>
      </c>
    </row>
    <row customHeight="1" ht="17" r="224" spans="1:18">
      <c r="A224" s="12" t="n">
        <v>4</v>
      </c>
      <c r="B224" s="12" t="s">
        <v>1070</v>
      </c>
      <c r="C224" s="12" t="s">
        <v>1183</v>
      </c>
      <c r="D224" s="12" t="n">
        <v>282</v>
      </c>
      <c r="E224" s="12" t="s">
        <v>1212</v>
      </c>
      <c r="G224" s="12" t="n">
        <v>21</v>
      </c>
      <c r="H224" s="12" t="s">
        <v>1213</v>
      </c>
      <c r="I224" s="2" t="s">
        <v>1214</v>
      </c>
      <c r="J224" s="12" t="s">
        <v>1215</v>
      </c>
      <c r="K224" s="5" t="n"/>
      <c r="L224" s="5" t="s">
        <v>1216</v>
      </c>
      <c r="O224" s="5">
        <f>CONCATENATE(Tabell1[[#This Row],[OSM tag]],";",Tabell1[[#This Row],[tillegg]],";",Tabell1[[#This Row],[fixme]])</f>
        <v/>
      </c>
      <c r="P224" s="5" t="s">
        <v>1096</v>
      </c>
    </row>
    <row customHeight="1" ht="17" r="225" spans="1:18">
      <c r="B225" s="12" t="s">
        <v>1070</v>
      </c>
      <c r="C225" s="12" t="s">
        <v>1183</v>
      </c>
      <c r="E225" s="12" t="s">
        <v>1217</v>
      </c>
      <c r="I225" s="16" t="s">
        <v>1218</v>
      </c>
      <c r="J225" s="12" t="n"/>
      <c r="K225" s="5" t="n"/>
      <c r="M225" s="12" t="s">
        <v>90</v>
      </c>
      <c r="O225" s="5">
        <f>CONCATENATE(Tabell1[[#This Row],[OSM tag]],";",Tabell1[[#This Row],[tillegg]],";",Tabell1[[#This Row],[fixme]])</f>
        <v/>
      </c>
    </row>
    <row customHeight="1" ht="17" r="226" spans="1:18">
      <c r="B226" s="12" t="s">
        <v>1070</v>
      </c>
      <c r="C226" s="12" t="s">
        <v>1183</v>
      </c>
      <c r="E226" s="12" t="s">
        <v>1219</v>
      </c>
      <c r="I226" s="3" t="s">
        <v>1220</v>
      </c>
      <c r="J226" s="12" t="n"/>
      <c r="K226" s="5" t="n"/>
      <c r="M226" s="12" t="s">
        <v>90</v>
      </c>
      <c r="O226" s="5">
        <f>CONCATENATE(Tabell1[[#This Row],[OSM tag]],";",Tabell1[[#This Row],[tillegg]],";",Tabell1[[#This Row],[fixme]])</f>
        <v/>
      </c>
    </row>
    <row customHeight="1" ht="17" r="227" spans="1:18">
      <c r="B227" s="12" t="s">
        <v>1070</v>
      </c>
      <c r="C227" s="12" t="s">
        <v>1183</v>
      </c>
      <c r="E227" s="12" t="s">
        <v>1221</v>
      </c>
      <c r="I227" s="2" t="s">
        <v>1222</v>
      </c>
      <c r="J227" s="12" t="n"/>
      <c r="K227" s="5" t="n"/>
      <c r="M227" s="10" t="s">
        <v>90</v>
      </c>
      <c r="O227" s="5">
        <f>CONCATENATE(Tabell1[[#This Row],[OSM tag]],";",Tabell1[[#This Row],[tillegg]],";",Tabell1[[#This Row],[fixme]])</f>
        <v/>
      </c>
    </row>
    <row customHeight="1" ht="17" r="228" spans="1:18">
      <c r="B228" s="12" t="s">
        <v>1070</v>
      </c>
      <c r="C228" s="12" t="s">
        <v>1183</v>
      </c>
      <c r="E228" s="12" t="s">
        <v>1223</v>
      </c>
      <c r="I228" s="2" t="s">
        <v>1224</v>
      </c>
      <c r="J228" s="12" t="n"/>
      <c r="K228" s="5" t="n"/>
      <c r="L228" s="5" t="s">
        <v>1225</v>
      </c>
      <c r="M228" s="12" t="s">
        <v>90</v>
      </c>
      <c r="O228" s="5">
        <f>CONCATENATE(Tabell1[[#This Row],[OSM tag]],";",Tabell1[[#This Row],[tillegg]],";",Tabell1[[#This Row],[fixme]])</f>
        <v/>
      </c>
    </row>
    <row customHeight="1" ht="17" r="229" spans="1:18">
      <c r="B229" s="12" t="s">
        <v>1070</v>
      </c>
      <c r="C229" s="12" t="s">
        <v>1183</v>
      </c>
      <c r="E229" s="12" t="s">
        <v>1226</v>
      </c>
      <c r="I229" s="2" t="s">
        <v>1227</v>
      </c>
      <c r="J229" s="12" t="n"/>
      <c r="K229" s="5" t="n"/>
      <c r="L229" s="9" t="n"/>
      <c r="M229" s="10" t="s">
        <v>90</v>
      </c>
      <c r="O229" s="5">
        <f>CONCATENATE(Tabell1[[#This Row],[OSM tag]],";",Tabell1[[#This Row],[tillegg]],";",Tabell1[[#This Row],[fixme]])</f>
        <v/>
      </c>
    </row>
    <row customHeight="1" ht="17" r="230" spans="1:18">
      <c r="B230" s="12" t="s">
        <v>1070</v>
      </c>
      <c r="C230" s="12" t="s">
        <v>1183</v>
      </c>
      <c r="E230" s="7" t="s">
        <v>1228</v>
      </c>
      <c r="I230" s="3" t="s">
        <v>1229</v>
      </c>
      <c r="J230" s="12" t="n"/>
      <c r="K230" s="5" t="n"/>
      <c r="M230" s="10" t="s">
        <v>90</v>
      </c>
      <c r="O230" s="5">
        <f>CONCATENATE(Tabell1[[#This Row],[OSM tag]],";",Tabell1[[#This Row],[tillegg]],";",Tabell1[[#This Row],[fixme]])</f>
        <v/>
      </c>
    </row>
    <row customHeight="1" ht="17" r="231" spans="1:18">
      <c r="B231" s="12" t="s">
        <v>1070</v>
      </c>
      <c r="C231" s="12" t="s">
        <v>1183</v>
      </c>
      <c r="E231" s="12" t="s">
        <v>1230</v>
      </c>
      <c r="I231" s="2" t="s">
        <v>1231</v>
      </c>
      <c r="J231" s="12" t="n"/>
      <c r="K231" s="5" t="n"/>
      <c r="M231" s="10" t="s">
        <v>90</v>
      </c>
      <c r="O231" s="5">
        <f>CONCATENATE(Tabell1[[#This Row],[OSM tag]],";",Tabell1[[#This Row],[tillegg]],";",Tabell1[[#This Row],[fixme]])</f>
        <v/>
      </c>
    </row>
    <row customHeight="1" ht="17" r="232" spans="1:18">
      <c r="B232" s="12" t="s">
        <v>1070</v>
      </c>
      <c r="C232" s="12" t="s">
        <v>1183</v>
      </c>
      <c r="E232" s="12" t="s">
        <v>1232</v>
      </c>
      <c r="I232" s="3" t="s">
        <v>1233</v>
      </c>
      <c r="J232" s="12" t="n"/>
      <c r="K232" s="5" t="n"/>
      <c r="M232" s="12" t="s">
        <v>90</v>
      </c>
      <c r="O232" s="5">
        <f>CONCATENATE(Tabell1[[#This Row],[OSM tag]],";",Tabell1[[#This Row],[tillegg]],";",Tabell1[[#This Row],[fixme]])</f>
        <v/>
      </c>
    </row>
    <row customHeight="1" ht="17" r="233" spans="1:18">
      <c r="B233" s="12" t="s">
        <v>1070</v>
      </c>
      <c r="C233" s="12" t="s">
        <v>1183</v>
      </c>
      <c r="E233" s="12" t="s">
        <v>1234</v>
      </c>
      <c r="I233" s="2" t="s">
        <v>1235</v>
      </c>
      <c r="J233" s="12" t="n"/>
      <c r="K233" s="5" t="n"/>
      <c r="M233" s="12" t="s">
        <v>90</v>
      </c>
      <c r="O233" s="5">
        <f>CONCATENATE(Tabell1[[#This Row],[OSM tag]],";",Tabell1[[#This Row],[tillegg]],";",Tabell1[[#This Row],[fixme]])</f>
        <v/>
      </c>
    </row>
    <row customHeight="1" ht="17" r="234" spans="1:18">
      <c r="B234" s="12" t="s">
        <v>1070</v>
      </c>
      <c r="C234" s="12" t="s">
        <v>1183</v>
      </c>
      <c r="E234" s="7" t="s">
        <v>1236</v>
      </c>
      <c r="H234" s="12" t="s">
        <v>1237</v>
      </c>
      <c r="J234" s="12" t="n"/>
      <c r="K234" s="5" t="n"/>
      <c r="M234" s="12" t="s">
        <v>90</v>
      </c>
      <c r="O234" s="5">
        <f>CONCATENATE(Tabell1[[#This Row],[OSM tag]],";",Tabell1[[#This Row],[tillegg]],";",Tabell1[[#This Row],[fixme]])</f>
        <v/>
      </c>
    </row>
    <row customHeight="1" ht="17" r="235" spans="1:18">
      <c r="B235" s="12" t="s">
        <v>1070</v>
      </c>
      <c r="C235" s="12" t="s">
        <v>1183</v>
      </c>
      <c r="E235" s="7" t="s">
        <v>1238</v>
      </c>
      <c r="I235" s="2" t="s">
        <v>1239</v>
      </c>
      <c r="J235" s="12" t="n"/>
      <c r="K235" s="5" t="n"/>
      <c r="M235" s="12" t="s">
        <v>90</v>
      </c>
      <c r="O235" s="5">
        <f>CONCATENATE(Tabell1[[#This Row],[OSM tag]],";",Tabell1[[#This Row],[tillegg]],";",Tabell1[[#This Row],[fixme]])</f>
        <v/>
      </c>
    </row>
    <row customHeight="1" ht="17" r="236" spans="1:18">
      <c r="A236" s="12" t="n">
        <v>1</v>
      </c>
      <c r="B236" s="12" t="s">
        <v>1240</v>
      </c>
      <c r="C236" s="12" t="s">
        <v>1241</v>
      </c>
      <c r="D236" s="12" t="n">
        <v>13</v>
      </c>
      <c r="E236" s="12" t="s">
        <v>1242</v>
      </c>
      <c r="F236" t="n">
        <v>8041</v>
      </c>
      <c r="G236" s="12" t="n">
        <v>7739</v>
      </c>
      <c r="H236" s="12" t="s">
        <v>1243</v>
      </c>
      <c r="I236" s="2" t="s">
        <v>1244</v>
      </c>
      <c r="J236" s="12" t="s">
        <v>1245</v>
      </c>
      <c r="K236" s="1" t="s">
        <v>1246</v>
      </c>
      <c r="L236" s="2" t="n"/>
      <c r="M236" s="12" t="s">
        <v>90</v>
      </c>
      <c r="O236" s="5">
        <f>CONCATENATE(Tabell1[[#This Row],[OSM tag]],";",Tabell1[[#This Row],[tillegg]],";",Tabell1[[#This Row],[fixme]])</f>
        <v/>
      </c>
    </row>
    <row customHeight="1" ht="17" r="237" spans="1:18">
      <c r="A237" s="12" t="n">
        <v>1</v>
      </c>
      <c r="B237" s="12" t="s">
        <v>1240</v>
      </c>
      <c r="C237" s="12" t="s">
        <v>1241</v>
      </c>
      <c r="D237" s="12" t="n">
        <v>14</v>
      </c>
      <c r="E237" s="12" t="s">
        <v>1247</v>
      </c>
      <c r="F237" t="n">
        <v>4232</v>
      </c>
      <c r="G237" s="12" t="n">
        <v>4173</v>
      </c>
      <c r="H237" s="12" t="s">
        <v>1248</v>
      </c>
      <c r="I237" s="2" t="s">
        <v>1249</v>
      </c>
      <c r="J237" s="12" t="s">
        <v>1250</v>
      </c>
      <c r="K237" s="1" t="s">
        <v>1046</v>
      </c>
      <c r="M237" s="12" t="s">
        <v>90</v>
      </c>
      <c r="O237" s="5">
        <f>CONCATENATE(Tabell1[[#This Row],[OSM tag]],";",Tabell1[[#This Row],[tillegg]],";",Tabell1[[#This Row],[fixme]])</f>
        <v/>
      </c>
    </row>
    <row customHeight="1" ht="51" r="238" spans="1:18">
      <c r="A238" s="12" t="n">
        <v>1</v>
      </c>
      <c r="B238" s="12" t="s">
        <v>1240</v>
      </c>
      <c r="C238" s="12" t="s">
        <v>1251</v>
      </c>
      <c r="D238" s="12" t="n">
        <v>1</v>
      </c>
      <c r="E238" s="12" t="s">
        <v>1252</v>
      </c>
      <c r="F238" t="n">
        <v>15402</v>
      </c>
      <c r="G238" s="12" t="n">
        <v>15244</v>
      </c>
      <c r="H238" s="12" t="s">
        <v>1253</v>
      </c>
      <c r="I238" s="2" t="s">
        <v>1254</v>
      </c>
      <c r="J238" s="12" t="s">
        <v>1255</v>
      </c>
      <c r="K238" s="1" t="s">
        <v>1256</v>
      </c>
      <c r="L238" s="2" t="s">
        <v>1257</v>
      </c>
      <c r="M238" s="12" t="s">
        <v>90</v>
      </c>
      <c r="O238" s="5">
        <f>CONCATENATE(Tabell1[[#This Row],[OSM tag]],";",Tabell1[[#This Row],[tillegg]],";",Tabell1[[#This Row],[fixme]])</f>
        <v/>
      </c>
      <c r="P238" s="5" t="s">
        <v>1258</v>
      </c>
    </row>
    <row customHeight="1" ht="51" r="239" spans="1:18">
      <c r="A239" s="12" t="n">
        <v>1</v>
      </c>
      <c r="B239" s="12" t="s">
        <v>1240</v>
      </c>
      <c r="C239" s="12" t="s">
        <v>1251</v>
      </c>
      <c r="D239" s="12" t="n">
        <v>2</v>
      </c>
      <c r="E239" s="12" t="s">
        <v>1259</v>
      </c>
      <c r="F239" t="n">
        <v>21612</v>
      </c>
      <c r="G239" s="12" t="n">
        <v>22178</v>
      </c>
      <c r="H239" s="12" t="s">
        <v>1260</v>
      </c>
      <c r="I239" s="2" t="s">
        <v>1261</v>
      </c>
      <c r="J239" s="12" t="s">
        <v>1262</v>
      </c>
      <c r="K239" s="1" t="s">
        <v>1263</v>
      </c>
      <c r="L239" s="5" t="s">
        <v>1257</v>
      </c>
      <c r="M239" s="12" t="s">
        <v>90</v>
      </c>
      <c r="N239" s="5" t="s">
        <v>1264</v>
      </c>
      <c r="O239" s="5">
        <f>CONCATENATE(Tabell1[[#This Row],[OSM tag]],";",Tabell1[[#This Row],[tillegg]],";",Tabell1[[#This Row],[fixme]])</f>
        <v/>
      </c>
    </row>
    <row customHeight="1" ht="17" r="240" spans="1:18">
      <c r="A240" s="12" t="n">
        <v>1</v>
      </c>
      <c r="B240" s="12" t="s">
        <v>1240</v>
      </c>
      <c r="C240" s="12" t="s">
        <v>1251</v>
      </c>
      <c r="D240" s="12" t="n">
        <v>4</v>
      </c>
      <c r="E240" s="12" t="s">
        <v>1265</v>
      </c>
      <c r="F240" t="n">
        <v>9435</v>
      </c>
      <c r="G240" s="12" t="n">
        <v>8191</v>
      </c>
      <c r="H240" s="12" t="s">
        <v>1266</v>
      </c>
      <c r="I240" s="2" t="s">
        <v>1267</v>
      </c>
      <c r="J240" s="12" t="s">
        <v>1268</v>
      </c>
      <c r="K240" s="1" t="s">
        <v>1269</v>
      </c>
      <c r="L240" s="5" t="s">
        <v>1257</v>
      </c>
      <c r="M240" s="12" t="s">
        <v>90</v>
      </c>
      <c r="O240" s="5">
        <f>CONCATENATE(Tabell1[[#This Row],[OSM tag]],";",Tabell1[[#This Row],[tillegg]],";",Tabell1[[#This Row],[fixme]])</f>
        <v/>
      </c>
      <c r="P240" s="5" t="s">
        <v>1270</v>
      </c>
    </row>
    <row customHeight="1" ht="34" r="241" spans="1:18">
      <c r="A241" s="12" t="n">
        <v>1</v>
      </c>
      <c r="B241" s="12" t="s">
        <v>1240</v>
      </c>
      <c r="C241" s="12" t="s">
        <v>1251</v>
      </c>
      <c r="D241" s="12" t="n">
        <v>5</v>
      </c>
      <c r="E241" s="12" t="s">
        <v>1271</v>
      </c>
      <c r="F241" t="n">
        <v>10088</v>
      </c>
      <c r="G241" s="12" t="n">
        <v>9146</v>
      </c>
      <c r="H241" s="12" t="s">
        <v>1272</v>
      </c>
      <c r="I241" s="2" t="s">
        <v>1273</v>
      </c>
      <c r="J241" s="12" t="s">
        <v>1274</v>
      </c>
      <c r="K241" s="1" t="s">
        <v>1275</v>
      </c>
      <c r="L241" s="5" t="s">
        <v>1257</v>
      </c>
      <c r="M241" s="12" t="s">
        <v>90</v>
      </c>
      <c r="O241" s="5">
        <f>CONCATENATE(Tabell1[[#This Row],[OSM tag]],";",Tabell1[[#This Row],[tillegg]],";",Tabell1[[#This Row],[fixme]])</f>
        <v/>
      </c>
    </row>
    <row customHeight="1" ht="51" r="242" spans="1:18">
      <c r="A242" s="12" t="n">
        <v>1</v>
      </c>
      <c r="B242" s="12" t="s">
        <v>1240</v>
      </c>
      <c r="C242" s="12" t="s">
        <v>1251</v>
      </c>
      <c r="D242" s="12" t="n">
        <v>6</v>
      </c>
      <c r="E242" s="7" t="s">
        <v>1276</v>
      </c>
      <c r="F242" t="n">
        <v>58181</v>
      </c>
      <c r="G242" s="12" t="n">
        <v>57885</v>
      </c>
      <c r="H242" s="12" t="s">
        <v>1277</v>
      </c>
      <c r="I242" s="2" t="s">
        <v>1278</v>
      </c>
      <c r="J242" s="12" t="s">
        <v>1279</v>
      </c>
      <c r="K242" s="1" t="s">
        <v>1280</v>
      </c>
      <c r="L242" s="5" t="s">
        <v>1257</v>
      </c>
      <c r="M242" s="12" t="s">
        <v>90</v>
      </c>
      <c r="N242" s="5" t="s">
        <v>1264</v>
      </c>
      <c r="O242" s="5">
        <f>CONCATENATE(Tabell1[[#This Row],[OSM tag]],";",Tabell1[[#This Row],[tillegg]],";",Tabell1[[#This Row],[fixme]])</f>
        <v/>
      </c>
      <c r="P242" s="5" t="s">
        <v>1281</v>
      </c>
    </row>
    <row customHeight="1" ht="17" r="243" spans="1:18">
      <c r="A243" s="12" t="n">
        <v>1</v>
      </c>
      <c r="B243" s="12" t="s">
        <v>1240</v>
      </c>
      <c r="C243" s="12" t="s">
        <v>1251</v>
      </c>
      <c r="D243" s="12" t="n">
        <v>7</v>
      </c>
      <c r="E243" s="12" t="s">
        <v>1282</v>
      </c>
      <c r="F243" t="n">
        <v>7101</v>
      </c>
      <c r="G243" s="12" t="n">
        <v>6752</v>
      </c>
      <c r="H243" s="12" t="s">
        <v>1283</v>
      </c>
      <c r="I243" s="2" t="s">
        <v>1284</v>
      </c>
      <c r="J243" s="12" t="s">
        <v>1285</v>
      </c>
      <c r="K243" s="1" t="s">
        <v>1286</v>
      </c>
      <c r="L243" s="5" t="s">
        <v>1287</v>
      </c>
      <c r="M243" s="12" t="s">
        <v>90</v>
      </c>
      <c r="O243" s="5">
        <f>CONCATENATE(Tabell1[[#This Row],[OSM tag]],";",Tabell1[[#This Row],[tillegg]],";",Tabell1[[#This Row],[fixme]])</f>
        <v/>
      </c>
    </row>
    <row customHeight="1" ht="17" r="244" spans="1:18">
      <c r="A244" s="12" t="n">
        <v>1</v>
      </c>
      <c r="B244" s="12" t="s">
        <v>1240</v>
      </c>
      <c r="C244" s="12" t="s">
        <v>1251</v>
      </c>
      <c r="D244" s="12" t="n">
        <v>8</v>
      </c>
      <c r="E244" s="12" t="s">
        <v>1288</v>
      </c>
      <c r="F244" t="n">
        <v>49079</v>
      </c>
      <c r="G244" s="12" t="n">
        <v>48481</v>
      </c>
      <c r="H244" s="12" t="s">
        <v>1289</v>
      </c>
      <c r="I244" s="2" t="s">
        <v>1290</v>
      </c>
      <c r="J244" s="12" t="s">
        <v>1291</v>
      </c>
      <c r="K244" s="1" t="s">
        <v>1292</v>
      </c>
      <c r="L244" s="5" t="s">
        <v>1257</v>
      </c>
      <c r="M244" s="12" t="s">
        <v>90</v>
      </c>
      <c r="O244" s="5">
        <f>CONCATENATE(Tabell1[[#This Row],[OSM tag]],";",Tabell1[[#This Row],[tillegg]],";",Tabell1[[#This Row],[fixme]])</f>
        <v/>
      </c>
    </row>
    <row customHeight="1" ht="34" r="245" spans="1:18">
      <c r="A245" s="12" t="n">
        <v>1</v>
      </c>
      <c r="B245" s="12" t="s">
        <v>1240</v>
      </c>
      <c r="C245" s="12" t="s">
        <v>1251</v>
      </c>
      <c r="D245" s="12" t="n">
        <v>211</v>
      </c>
      <c r="E245" s="7" t="s">
        <v>1293</v>
      </c>
      <c r="F245" t="n">
        <v>1843</v>
      </c>
      <c r="G245" s="12" t="n">
        <v>1648</v>
      </c>
      <c r="H245" s="12" t="s">
        <v>1294</v>
      </c>
      <c r="I245" s="2" t="s">
        <v>1295</v>
      </c>
      <c r="J245" s="12" t="s">
        <v>1296</v>
      </c>
      <c r="K245" s="1" t="s">
        <v>1297</v>
      </c>
      <c r="L245" s="5" t="s">
        <v>1257</v>
      </c>
      <c r="N245" s="5" t="s">
        <v>1264</v>
      </c>
      <c r="O245" s="5">
        <f>CONCATENATE(Tabell1[[#This Row],[OSM tag]],";",Tabell1[[#This Row],[tillegg]],";",Tabell1[[#This Row],[fixme]])</f>
        <v/>
      </c>
      <c r="P245" s="5" t="s">
        <v>1298</v>
      </c>
    </row>
    <row customHeight="1" ht="17" r="246" spans="1:18">
      <c r="A246" s="12" t="n">
        <v>1</v>
      </c>
      <c r="B246" s="12" t="s">
        <v>1240</v>
      </c>
      <c r="C246" s="12" t="s">
        <v>1251</v>
      </c>
      <c r="D246" s="12" t="n">
        <v>245</v>
      </c>
      <c r="E246" s="12" t="s">
        <v>1299</v>
      </c>
      <c r="F246" t="n">
        <v>1268</v>
      </c>
      <c r="G246" s="12" t="n">
        <v>1076</v>
      </c>
      <c r="H246" s="12" t="s">
        <v>1300</v>
      </c>
      <c r="I246" s="2" t="s">
        <v>1301</v>
      </c>
      <c r="J246" s="12" t="s">
        <v>1302</v>
      </c>
      <c r="K246" s="1" t="s"/>
      <c r="M246" s="12" t="s">
        <v>90</v>
      </c>
      <c r="O246" s="5">
        <f>CONCATENATE(Tabell1[[#This Row],[OSM tag]],";",Tabell1[[#This Row],[tillegg]],";",Tabell1[[#This Row],[fixme]])</f>
        <v/>
      </c>
    </row>
    <row customHeight="1" ht="17" r="247" spans="1:18">
      <c r="A247" s="12" t="n">
        <v>1</v>
      </c>
      <c r="B247" s="12" t="s">
        <v>1240</v>
      </c>
      <c r="C247" s="12" t="s">
        <v>1303</v>
      </c>
      <c r="D247" s="12" t="n">
        <v>15</v>
      </c>
      <c r="E247" s="12" t="s">
        <v>1304</v>
      </c>
      <c r="G247" s="12" t="n">
        <v>251</v>
      </c>
      <c r="H247" s="12" t="s">
        <v>1305</v>
      </c>
      <c r="I247" s="2" t="s">
        <v>1306</v>
      </c>
      <c r="J247" s="12" t="s">
        <v>1307</v>
      </c>
      <c r="K247" s="5" t="n"/>
      <c r="L247" s="5" t="s">
        <v>1308</v>
      </c>
      <c r="M247" s="12" t="s">
        <v>90</v>
      </c>
      <c r="O247" s="5">
        <f>CONCATENATE(Tabell1[[#This Row],[OSM tag]],";",Tabell1[[#This Row],[tillegg]],";",Tabell1[[#This Row],[fixme]])</f>
        <v/>
      </c>
    </row>
    <row customHeight="1" ht="17" r="248" spans="1:18">
      <c r="A248" s="12" t="n">
        <v>1</v>
      </c>
      <c r="B248" s="12" t="s">
        <v>1240</v>
      </c>
      <c r="C248" s="12" t="s">
        <v>1303</v>
      </c>
      <c r="D248" s="12" t="n">
        <v>16</v>
      </c>
      <c r="E248" s="12" t="s">
        <v>1309</v>
      </c>
      <c r="F248" t="n">
        <v>39949</v>
      </c>
      <c r="G248" s="12" t="n">
        <v>38753</v>
      </c>
      <c r="H248" s="12" t="s">
        <v>1310</v>
      </c>
      <c r="I248" s="2" t="s">
        <v>1311</v>
      </c>
      <c r="J248" s="12" t="s">
        <v>1312</v>
      </c>
      <c r="K248" s="1" t="s">
        <v>1313</v>
      </c>
      <c r="L248" s="5" t="s">
        <v>1308</v>
      </c>
      <c r="M248" s="12" t="s">
        <v>90</v>
      </c>
      <c r="O248" s="5">
        <f>CONCATENATE(Tabell1[[#This Row],[OSM tag]],";",Tabell1[[#This Row],[tillegg]],";",Tabell1[[#This Row],[fixme]])</f>
        <v/>
      </c>
    </row>
    <row customHeight="1" ht="17" r="249" spans="1:18">
      <c r="A249" s="12" t="n">
        <v>1</v>
      </c>
      <c r="B249" s="12" t="s">
        <v>1240</v>
      </c>
      <c r="C249" s="12" t="s">
        <v>1303</v>
      </c>
      <c r="D249" s="12" t="n">
        <v>17</v>
      </c>
      <c r="E249" s="12" t="s">
        <v>1314</v>
      </c>
      <c r="F249" t="n">
        <v>6948</v>
      </c>
      <c r="G249" s="12" t="n">
        <v>6491</v>
      </c>
      <c r="H249" s="12" t="s">
        <v>1315</v>
      </c>
      <c r="I249" s="2" t="s">
        <v>1316</v>
      </c>
      <c r="J249" s="12" t="s">
        <v>1317</v>
      </c>
      <c r="K249" s="1" t="s">
        <v>1318</v>
      </c>
      <c r="L249" s="5" t="s">
        <v>1308</v>
      </c>
      <c r="M249" s="12" t="s">
        <v>90</v>
      </c>
      <c r="O249" s="5">
        <f>CONCATENATE(Tabell1[[#This Row],[OSM tag]],";",Tabell1[[#This Row],[tillegg]],";",Tabell1[[#This Row],[fixme]])</f>
        <v/>
      </c>
    </row>
    <row customHeight="1" ht="17" r="250" spans="1:18">
      <c r="A250" s="12" t="n">
        <v>1</v>
      </c>
      <c r="B250" s="12" t="s">
        <v>1240</v>
      </c>
      <c r="C250" s="12" t="s">
        <v>1303</v>
      </c>
      <c r="D250" s="12" t="n">
        <v>18</v>
      </c>
      <c r="E250" s="12" t="s">
        <v>1319</v>
      </c>
      <c r="F250" t="n">
        <v>12160</v>
      </c>
      <c r="G250" s="12" t="n">
        <v>11649</v>
      </c>
      <c r="H250" s="12" t="s">
        <v>1320</v>
      </c>
      <c r="I250" s="2" t="s">
        <v>1321</v>
      </c>
      <c r="J250" s="12" t="s">
        <v>1322</v>
      </c>
      <c r="K250" s="1" t="s">
        <v>1323</v>
      </c>
      <c r="L250" s="2" t="s">
        <v>1308</v>
      </c>
      <c r="M250" s="12" t="s">
        <v>90</v>
      </c>
      <c r="O250" s="5">
        <f>CONCATENATE(Tabell1[[#This Row],[OSM tag]],";",Tabell1[[#This Row],[tillegg]],";",Tabell1[[#This Row],[fixme]])</f>
        <v/>
      </c>
    </row>
    <row customHeight="1" ht="17" r="251" spans="1:18">
      <c r="A251" s="12" t="n">
        <v>1</v>
      </c>
      <c r="B251" s="12" t="s">
        <v>1240</v>
      </c>
      <c r="C251" s="12" t="s">
        <v>1303</v>
      </c>
      <c r="D251" s="12" t="n">
        <v>19</v>
      </c>
      <c r="E251" s="12" t="s">
        <v>1324</v>
      </c>
      <c r="F251" t="n">
        <v>2036</v>
      </c>
      <c r="G251" s="12" t="n">
        <v>1747</v>
      </c>
      <c r="H251" s="12" t="s">
        <v>1325</v>
      </c>
      <c r="I251" s="2" t="s">
        <v>1326</v>
      </c>
      <c r="J251" s="12" t="s">
        <v>1327</v>
      </c>
      <c r="K251" s="1" t="s">
        <v>1328</v>
      </c>
      <c r="L251" s="5" t="s">
        <v>1329</v>
      </c>
      <c r="O251" s="5">
        <f>CONCATENATE(Tabell1[[#This Row],[OSM tag]],";",Tabell1[[#This Row],[tillegg]],";",Tabell1[[#This Row],[fixme]])</f>
        <v/>
      </c>
    </row>
    <row customHeight="1" ht="17" r="252" spans="1:18">
      <c r="A252" s="12" t="n">
        <v>1</v>
      </c>
      <c r="B252" s="12" t="s">
        <v>1240</v>
      </c>
      <c r="C252" s="12" t="s">
        <v>1303</v>
      </c>
      <c r="D252" s="12" t="n">
        <v>20</v>
      </c>
      <c r="E252" s="7" t="s">
        <v>1330</v>
      </c>
      <c r="F252" t="n">
        <v>3356</v>
      </c>
      <c r="G252" s="12" t="n">
        <v>2948</v>
      </c>
      <c r="H252" s="12" t="s">
        <v>1331</v>
      </c>
      <c r="I252" s="2" t="s">
        <v>1332</v>
      </c>
      <c r="J252" s="12" t="s">
        <v>1333</v>
      </c>
      <c r="K252" s="1" t="s">
        <v>1334</v>
      </c>
      <c r="L252" s="5" t="s">
        <v>1308</v>
      </c>
      <c r="M252" s="12" t="s">
        <v>90</v>
      </c>
      <c r="N252" s="5" t="s">
        <v>1335</v>
      </c>
      <c r="O252" s="5">
        <f>CONCATENATE(Tabell1[[#This Row],[OSM tag]],";",Tabell1[[#This Row],[tillegg]],";",Tabell1[[#This Row],[fixme]])</f>
        <v/>
      </c>
    </row>
    <row customHeight="1" ht="17" r="253" spans="1:18">
      <c r="A253" s="12" t="n">
        <v>1</v>
      </c>
      <c r="B253" s="12" t="s">
        <v>1240</v>
      </c>
      <c r="C253" s="12" t="s">
        <v>1303</v>
      </c>
      <c r="D253" s="12" t="n">
        <v>244</v>
      </c>
      <c r="E253" s="12" t="s">
        <v>1336</v>
      </c>
      <c r="F253" t="n">
        <v>419</v>
      </c>
      <c r="G253" s="12" t="n">
        <v>340</v>
      </c>
      <c r="H253" s="12" t="s">
        <v>1337</v>
      </c>
      <c r="I253" s="2" t="s">
        <v>1338</v>
      </c>
      <c r="J253" s="12" t="s">
        <v>1339</v>
      </c>
      <c r="K253" s="1" t="s">
        <v>1340</v>
      </c>
      <c r="L253" s="5" t="s">
        <v>1308</v>
      </c>
      <c r="M253" s="12" t="s">
        <v>90</v>
      </c>
      <c r="O253" s="5">
        <f>CONCATENATE(Tabell1[[#This Row],[OSM tag]],";",Tabell1[[#This Row],[tillegg]],";",Tabell1[[#This Row],[fixme]])</f>
        <v/>
      </c>
    </row>
    <row customHeight="1" ht="34" r="254" spans="1:18">
      <c r="B254" s="12" t="s">
        <v>1240</v>
      </c>
      <c r="C254" s="12" t="s">
        <v>1303</v>
      </c>
      <c r="E254" s="12" t="s">
        <v>1341</v>
      </c>
      <c r="I254" s="2" t="s">
        <v>1342</v>
      </c>
      <c r="J254" s="12" t="n"/>
      <c r="K254" s="5" t="n"/>
      <c r="M254" s="12" t="s">
        <v>90</v>
      </c>
      <c r="O254" s="5">
        <f>CONCATENATE(Tabell1[[#This Row],[OSM tag]],";",Tabell1[[#This Row],[tillegg]],";",Tabell1[[#This Row],[fixme]])</f>
        <v/>
      </c>
    </row>
    <row customHeight="1" ht="17" r="255" spans="1:18">
      <c r="A255" s="12" t="n">
        <v>1</v>
      </c>
      <c r="B255" s="12" t="s">
        <v>1240</v>
      </c>
      <c r="C255" s="12" t="s">
        <v>1343</v>
      </c>
      <c r="D255" s="12" t="n">
        <v>9</v>
      </c>
      <c r="E255" s="12" t="s">
        <v>1344</v>
      </c>
      <c r="F255" t="n">
        <v>13219</v>
      </c>
      <c r="G255" s="12" t="n">
        <v>11974</v>
      </c>
      <c r="H255" s="12" t="s">
        <v>1345</v>
      </c>
      <c r="I255" s="2" t="s">
        <v>1346</v>
      </c>
      <c r="J255" s="12" t="s">
        <v>1347</v>
      </c>
      <c r="K255" s="1" t="s">
        <v>1348</v>
      </c>
      <c r="L255" s="5" t="s">
        <v>1349</v>
      </c>
      <c r="M255" s="12" t="s">
        <v>90</v>
      </c>
      <c r="O255" s="5">
        <f>CONCATENATE(Tabell1[[#This Row],[OSM tag]],";",Tabell1[[#This Row],[tillegg]],";",Tabell1[[#This Row],[fixme]])</f>
        <v/>
      </c>
    </row>
    <row customHeight="1" ht="17" r="256" spans="1:18">
      <c r="A256" s="12" t="n">
        <v>1</v>
      </c>
      <c r="B256" s="12" t="s">
        <v>1240</v>
      </c>
      <c r="C256" s="12" t="s">
        <v>1343</v>
      </c>
      <c r="D256" s="12" t="n">
        <v>10</v>
      </c>
      <c r="E256" s="12" t="s">
        <v>1350</v>
      </c>
      <c r="F256" t="n">
        <v>34297</v>
      </c>
      <c r="G256" s="12" t="n">
        <v>32819</v>
      </c>
      <c r="H256" s="12" t="s">
        <v>1351</v>
      </c>
      <c r="I256" s="2" t="s">
        <v>1352</v>
      </c>
      <c r="J256" s="12" t="s">
        <v>1353</v>
      </c>
      <c r="K256" s="1" t="s">
        <v>1354</v>
      </c>
      <c r="L256" s="5" t="s">
        <v>1349</v>
      </c>
      <c r="M256" s="12" t="s">
        <v>90</v>
      </c>
      <c r="O256" s="5">
        <f>CONCATENATE(Tabell1[[#This Row],[OSM tag]],";",Tabell1[[#This Row],[tillegg]],";",Tabell1[[#This Row],[fixme]])</f>
        <v/>
      </c>
    </row>
    <row customHeight="1" ht="17" r="257" spans="1:18">
      <c r="A257" s="12" t="n">
        <v>1</v>
      </c>
      <c r="B257" s="12" t="s">
        <v>1240</v>
      </c>
      <c r="C257" s="12" t="s">
        <v>1343</v>
      </c>
      <c r="D257" s="12" t="n">
        <v>239</v>
      </c>
      <c r="E257" s="12" t="s">
        <v>1355</v>
      </c>
      <c r="F257" t="n">
        <v>1564</v>
      </c>
      <c r="G257" s="12" t="n">
        <v>1437</v>
      </c>
      <c r="H257" s="12" t="s">
        <v>1356</v>
      </c>
      <c r="I257" s="2" t="s">
        <v>1357</v>
      </c>
      <c r="J257" s="12" t="s">
        <v>1358</v>
      </c>
      <c r="K257" s="1" t="s">
        <v>1359</v>
      </c>
      <c r="M257" s="12" t="s">
        <v>90</v>
      </c>
      <c r="O257" s="5">
        <f>CONCATENATE(Tabell1[[#This Row],[OSM tag]],";",Tabell1[[#This Row],[tillegg]],";",Tabell1[[#This Row],[fixme]])</f>
        <v/>
      </c>
    </row>
    <row customHeight="1" ht="17" r="258" spans="1:18">
      <c r="A258" s="12" t="n">
        <v>1</v>
      </c>
      <c r="B258" s="12" t="s">
        <v>1240</v>
      </c>
      <c r="C258" s="12" t="s">
        <v>1360</v>
      </c>
      <c r="D258" s="12" t="n">
        <v>3</v>
      </c>
      <c r="E258" s="12" t="s">
        <v>1361</v>
      </c>
      <c r="F258" t="n">
        <v>176</v>
      </c>
      <c r="G258" s="12" t="n">
        <v>337</v>
      </c>
      <c r="H258" s="12" t="s">
        <v>1362</v>
      </c>
      <c r="I258" s="2" t="s">
        <v>1363</v>
      </c>
      <c r="J258" s="12" t="s">
        <v>1364</v>
      </c>
      <c r="K258" s="1" t="s">
        <v>1365</v>
      </c>
      <c r="L258" s="5" t="s">
        <v>1366</v>
      </c>
      <c r="O258" s="5">
        <f>CONCATENATE(Tabell1[[#This Row],[OSM tag]],";",Tabell1[[#This Row],[tillegg]],";",Tabell1[[#This Row],[fixme]])</f>
        <v/>
      </c>
      <c r="P258" s="5" t="s">
        <v>1367</v>
      </c>
    </row>
    <row customHeight="1" ht="17" r="259" spans="1:18">
      <c r="A259" s="12" t="n">
        <v>1</v>
      </c>
      <c r="B259" s="12" t="s">
        <v>1240</v>
      </c>
      <c r="C259" s="12" t="s">
        <v>1360</v>
      </c>
      <c r="D259" s="12" t="n">
        <v>11</v>
      </c>
      <c r="E259" s="12" t="s">
        <v>1368</v>
      </c>
      <c r="F259" t="n">
        <v>3114</v>
      </c>
      <c r="G259" s="12" t="n">
        <v>2726</v>
      </c>
      <c r="H259" s="12" t="s">
        <v>1369</v>
      </c>
      <c r="I259" s="2" t="s">
        <v>1370</v>
      </c>
      <c r="J259" s="12" t="s">
        <v>1371</v>
      </c>
      <c r="K259" s="1" t="s">
        <v>1372</v>
      </c>
      <c r="L259" s="5" t="s">
        <v>1373</v>
      </c>
      <c r="M259" s="12" t="n"/>
      <c r="O259" s="5">
        <f>CONCATENATE(Tabell1[[#This Row],[OSM tag]],";",Tabell1[[#This Row],[tillegg]],";",Tabell1[[#This Row],[fixme]])</f>
        <v/>
      </c>
    </row>
    <row customHeight="1" ht="34" r="260" spans="1:18">
      <c r="A260" s="12" t="n">
        <v>1</v>
      </c>
      <c r="B260" s="12" t="s">
        <v>1240</v>
      </c>
      <c r="C260" s="12" t="s">
        <v>1360</v>
      </c>
      <c r="D260" s="12" t="n">
        <v>12</v>
      </c>
      <c r="E260" s="7" t="s">
        <v>1374</v>
      </c>
      <c r="F260" t="n">
        <v>143</v>
      </c>
      <c r="G260" s="12" t="n">
        <v>279</v>
      </c>
      <c r="H260" s="12" t="s">
        <v>1375</v>
      </c>
      <c r="I260" s="2" t="s">
        <v>1376</v>
      </c>
      <c r="J260" s="12" t="s">
        <v>1377</v>
      </c>
      <c r="K260" s="1" t="s"/>
      <c r="L260" s="5" t="s">
        <v>1378</v>
      </c>
      <c r="O260" s="5">
        <f>CONCATENATE(Tabell1[[#This Row],[OSM tag]],";",Tabell1[[#This Row],[tillegg]],";",Tabell1[[#This Row],[fixme]])</f>
        <v/>
      </c>
    </row>
    <row customHeight="1" ht="17" r="261" spans="1:18">
      <c r="A261" s="12" t="n">
        <v>1</v>
      </c>
      <c r="B261" s="12" t="s">
        <v>1240</v>
      </c>
      <c r="C261" s="12" t="s">
        <v>1360</v>
      </c>
      <c r="D261" s="12" t="n">
        <v>22</v>
      </c>
      <c r="E261" s="12" t="s">
        <v>1379</v>
      </c>
      <c r="F261" t="n">
        <v>633</v>
      </c>
      <c r="G261" s="12" t="n">
        <v>513</v>
      </c>
      <c r="H261" s="12" t="s">
        <v>1380</v>
      </c>
      <c r="I261" s="2" t="s">
        <v>1381</v>
      </c>
      <c r="J261" s="12" t="s">
        <v>1382</v>
      </c>
      <c r="K261" s="1" t="s">
        <v>193</v>
      </c>
      <c r="L261" s="2" t="n"/>
      <c r="M261" s="12" t="s">
        <v>90</v>
      </c>
      <c r="O261" s="5">
        <f>CONCATENATE(Tabell1[[#This Row],[OSM tag]],";",Tabell1[[#This Row],[tillegg]],";",Tabell1[[#This Row],[fixme]])</f>
        <v/>
      </c>
    </row>
    <row customHeight="1" ht="17" r="262" spans="1:18">
      <c r="A262" s="12" t="n">
        <v>1</v>
      </c>
      <c r="B262" s="12" t="s">
        <v>1240</v>
      </c>
      <c r="C262" s="12" t="s">
        <v>1360</v>
      </c>
      <c r="D262" s="12" t="n">
        <v>212</v>
      </c>
      <c r="E262" s="12" t="s">
        <v>1383</v>
      </c>
      <c r="F262" t="n">
        <v>2636</v>
      </c>
      <c r="G262" s="12" t="n">
        <v>2244</v>
      </c>
      <c r="H262" s="12" t="s">
        <v>1384</v>
      </c>
      <c r="I262" s="2" t="s">
        <v>1385</v>
      </c>
      <c r="J262" s="12" t="s">
        <v>1386</v>
      </c>
      <c r="K262" s="1" t="s">
        <v>1387</v>
      </c>
      <c r="M262" s="12" t="s">
        <v>90</v>
      </c>
      <c r="O262" s="5">
        <f>CONCATENATE(Tabell1[[#This Row],[OSM tag]],";",Tabell1[[#This Row],[tillegg]],";",Tabell1[[#This Row],[fixme]])</f>
        <v/>
      </c>
    </row>
    <row customHeight="1" ht="34" r="263" spans="1:18">
      <c r="A263" s="12" t="n">
        <v>1</v>
      </c>
      <c r="B263" s="12" t="s">
        <v>1240</v>
      </c>
      <c r="C263" s="12" t="s">
        <v>1360</v>
      </c>
      <c r="D263" s="12" t="n">
        <v>213</v>
      </c>
      <c r="E263" s="7" t="s">
        <v>1388</v>
      </c>
      <c r="F263" t="n">
        <v>6875</v>
      </c>
      <c r="G263" s="12" t="n">
        <v>6057</v>
      </c>
      <c r="H263" s="12" t="s">
        <v>1389</v>
      </c>
      <c r="I263" s="2" t="s">
        <v>1390</v>
      </c>
      <c r="J263" s="12" t="s">
        <v>1391</v>
      </c>
      <c r="K263" s="1" t="s">
        <v>1392</v>
      </c>
      <c r="M263" s="12" t="s">
        <v>90</v>
      </c>
      <c r="O263" s="5">
        <f>CONCATENATE(Tabell1[[#This Row],[OSM tag]],";",Tabell1[[#This Row],[tillegg]],";",Tabell1[[#This Row],[fixme]])</f>
        <v/>
      </c>
    </row>
    <row customHeight="1" ht="34" r="264" spans="1:18">
      <c r="A264" s="12" t="n">
        <v>1</v>
      </c>
      <c r="B264" s="12" t="s">
        <v>1240</v>
      </c>
      <c r="C264" s="12" t="s">
        <v>1360</v>
      </c>
      <c r="D264" s="12" t="n">
        <v>247</v>
      </c>
      <c r="E264" s="12" t="s">
        <v>1393</v>
      </c>
      <c r="G264" s="12" t="n">
        <v>51</v>
      </c>
      <c r="H264" s="12" t="s">
        <v>1394</v>
      </c>
      <c r="I264" s="2" t="s">
        <v>1395</v>
      </c>
      <c r="J264" s="12" t="s">
        <v>1396</v>
      </c>
      <c r="K264" s="5" t="n"/>
      <c r="O264" s="5">
        <f>CONCATENATE(Tabell1[[#This Row],[OSM tag]],";",Tabell1[[#This Row],[tillegg]],";",Tabell1[[#This Row],[fixme]])</f>
        <v/>
      </c>
      <c r="P264" s="5" t="s">
        <v>520</v>
      </c>
    </row>
    <row customHeight="1" ht="17" r="265" spans="1:18">
      <c r="A265" s="12" t="n">
        <v>1</v>
      </c>
      <c r="B265" s="12" t="s">
        <v>1240</v>
      </c>
      <c r="C265" s="12" t="s">
        <v>1360</v>
      </c>
      <c r="D265" s="12" t="n">
        <v>260</v>
      </c>
      <c r="E265" s="12" t="s">
        <v>1397</v>
      </c>
      <c r="G265" s="12" t="n">
        <v>19</v>
      </c>
      <c r="H265" s="12" t="s">
        <v>1398</v>
      </c>
      <c r="I265" s="2" t="s">
        <v>1399</v>
      </c>
      <c r="J265" s="12" t="s">
        <v>1400</v>
      </c>
      <c r="K265" s="5" t="n"/>
      <c r="L265" s="5" t="s">
        <v>1401</v>
      </c>
      <c r="M265" s="12" t="n"/>
      <c r="O265" s="5">
        <f>CONCATENATE(Tabell1[[#This Row],[OSM tag]],";",Tabell1[[#This Row],[tillegg]],";",Tabell1[[#This Row],[fixme]])</f>
        <v/>
      </c>
    </row>
    <row customHeight="1" ht="17" r="266" spans="1:18">
      <c r="A266" s="12" t="n">
        <v>8</v>
      </c>
      <c r="B266" s="12" t="s">
        <v>1240</v>
      </c>
      <c r="C266" s="12" t="s">
        <v>1360</v>
      </c>
      <c r="D266" s="12" t="n">
        <v>299</v>
      </c>
      <c r="E266" s="12" t="s">
        <v>1402</v>
      </c>
      <c r="G266" s="12" t="n">
        <v>1</v>
      </c>
      <c r="H266" s="12" t="s">
        <v>1403</v>
      </c>
      <c r="I266" s="2" t="s">
        <v>1404</v>
      </c>
      <c r="J266" s="12" t="s">
        <v>1405</v>
      </c>
      <c r="K266" s="5" t="n"/>
      <c r="M266" s="12" t="s">
        <v>90</v>
      </c>
      <c r="O266" s="5">
        <f>CONCATENATE(Tabell1[[#This Row],[OSM tag]],";",Tabell1[[#This Row],[tillegg]],";",Tabell1[[#This Row],[fixme]])</f>
        <v/>
      </c>
    </row>
    <row customHeight="1" ht="17" r="267" spans="1:18">
      <c r="A267" s="12" t="n">
        <v>1</v>
      </c>
      <c r="B267" s="12" t="s">
        <v>1240</v>
      </c>
      <c r="C267" s="12" t="s">
        <v>1406</v>
      </c>
      <c r="D267" s="12" t="n">
        <v>246</v>
      </c>
      <c r="E267" s="12" t="s">
        <v>1407</v>
      </c>
      <c r="F267" t="n">
        <v>79</v>
      </c>
      <c r="G267" s="12" t="n">
        <v>44</v>
      </c>
      <c r="H267" s="12" t="s">
        <v>1408</v>
      </c>
      <c r="I267" s="2" t="s">
        <v>1409</v>
      </c>
      <c r="J267" s="12" t="s">
        <v>1410</v>
      </c>
      <c r="K267" s="1" t="s">
        <v>1411</v>
      </c>
      <c r="L267" s="5" t="s">
        <v>1412</v>
      </c>
      <c r="O267" s="5">
        <f>CONCATENATE(Tabell1[[#This Row],[OSM tag]],";",Tabell1[[#This Row],[tillegg]],";",Tabell1[[#This Row],[fixme]])</f>
        <v/>
      </c>
    </row>
    <row customHeight="1" ht="17" r="268" spans="1:18">
      <c r="A268" s="12" t="n">
        <v>8</v>
      </c>
      <c r="D268" s="12" t="n">
        <v>202</v>
      </c>
      <c r="G268" s="12" t="n">
        <v>14</v>
      </c>
      <c r="H268" s="12" t="s">
        <v>1413</v>
      </c>
      <c r="J268" s="12" t="s">
        <v>1414</v>
      </c>
      <c r="K268" s="5" t="n"/>
      <c r="O268" s="5">
        <f>CONCATENATE(Tabell1[[#This Row],[OSM tag]],";",Tabell1[[#This Row],[tillegg]],";",Tabell1[[#This Row],[fixme]])</f>
        <v/>
      </c>
    </row>
    <row customHeight="1" ht="17" r="269" spans="1:18">
      <c r="A269" s="12" t="n">
        <v>5</v>
      </c>
      <c r="D269" s="12" t="n">
        <v>231</v>
      </c>
      <c r="G269" s="12" t="n">
        <v>47</v>
      </c>
      <c r="H269" s="12" t="s">
        <v>1415</v>
      </c>
      <c r="J269" s="12" t="s">
        <v>1415</v>
      </c>
      <c r="K269" s="5" t="n"/>
      <c r="O269" s="5">
        <f>CONCATENATE(Tabell1[[#This Row],[OSM tag]],";",Tabell1[[#This Row],[tillegg]],";",Tabell1[[#This Row],[fixme]])</f>
        <v/>
      </c>
    </row>
    <row customHeight="1" ht="17" r="270" spans="1:18">
      <c r="A270" s="12" t="n">
        <v>2</v>
      </c>
      <c r="D270" s="12" t="n">
        <v>238</v>
      </c>
      <c r="G270" s="12" t="n">
        <v>131</v>
      </c>
      <c r="H270" s="12" t="s">
        <v>1415</v>
      </c>
      <c r="J270" s="12" t="s">
        <v>1415</v>
      </c>
      <c r="K270" s="5" t="n"/>
      <c r="O270" s="5">
        <f>CONCATENATE(Tabell1[[#This Row],[OSM tag]],";",Tabell1[[#This Row],[tillegg]],";",Tabell1[[#This Row],[fixme]])</f>
        <v/>
      </c>
    </row>
    <row customHeight="1" ht="17" r="271" spans="1:18">
      <c r="A271" s="12" t="n">
        <v>7</v>
      </c>
      <c r="D271" s="12" t="n">
        <v>268</v>
      </c>
      <c r="G271" s="12" t="n">
        <v>5</v>
      </c>
      <c r="H271" s="12" t="s">
        <v>1415</v>
      </c>
      <c r="J271" s="12" t="s">
        <v>1415</v>
      </c>
      <c r="K271" s="5" t="n"/>
      <c r="O271" s="5">
        <f>CONCATENATE(Tabell1[[#This Row],[OSM tag]],";",Tabell1[[#This Row],[tillegg]],";",Tabell1[[#This Row],[fixme]])</f>
        <v/>
      </c>
    </row>
  </sheetData>
  <pageMargins bottom="0.75" footer="0.3" header="0.3" left="0.7" right="0.7" top="0.75"/>
  <pageSetup fitToWidth="1" horizontalDpi="0" orientation="portrait" paperSize="9" verticalDpi="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terms:created xmlns:dcterms="http://purl.org/dc/terms/" xmlns:xsi="http://www.w3.org/2001/XMLSchema-instance" xsi:type="dcterms:W3CDTF">2016-06-20T13:49:55Z</dcterms:created>
  <dcterms:modified xmlns:dcterms="http://purl.org/dc/terms/" xmlns:xsi="http://www.w3.org/2001/XMLSchema-instance" xsi:type="dcterms:W3CDTF">2019-02-10T20:51:25Z</dcterms:modified>
</cp:coreProperties>
</file>