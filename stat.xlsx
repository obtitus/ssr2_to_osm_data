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table+xml" PartName="/xl/tables/table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500" visibility="visible" windowHeight="16260" windowWidth="28800" xWindow="0" yWindow="500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borderId="0" fillId="0" fontId="0" numFmtId="0"/>
    <xf borderId="0" fillId="0" fontId="4" numFmtId="0"/>
    <xf borderId="0" fillId="0" fontId="5" numFmtId="0"/>
  </cellStyleXfs>
  <cellXfs count="17">
    <xf borderId="0" fillId="0" fontId="0" numFmtId="0" pivotButton="0" quotePrefix="0" xfId="0"/>
    <xf applyAlignment="1" borderId="0" fillId="0" fontId="0" numFmtId="0" pivotButton="0" quotePrefix="0" xfId="0">
      <alignment wrapText="1"/>
    </xf>
    <xf applyAlignment="1" borderId="0" fillId="0" fontId="1" numFmtId="0" pivotButton="0" quotePrefix="0" xfId="0">
      <alignment vertical="top" wrapText="1"/>
    </xf>
    <xf applyAlignment="1" borderId="0" fillId="0" fontId="3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0" numFmtId="0" pivotButton="0" quotePrefix="0" xfId="0">
      <alignment vertical="top"/>
    </xf>
    <xf applyAlignment="1" borderId="0" fillId="0" fontId="2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0" numFmtId="0" pivotButton="0" quotePrefix="1" xfId="0">
      <alignment vertical="top" wrapText="1"/>
    </xf>
    <xf applyAlignment="1" borderId="0" fillId="2" fontId="2" numFmtId="0" pivotButton="0" quotePrefix="0" xfId="0">
      <alignment vertical="top"/>
    </xf>
    <xf applyAlignment="1" borderId="1" fillId="0" fontId="0" numFmtId="0" pivotButton="0" quotePrefix="0" xfId="0">
      <alignment vertical="top"/>
    </xf>
    <xf applyAlignment="1" borderId="0" fillId="0" fontId="0" numFmtId="0" pivotButton="0" quotePrefix="0" xfId="0">
      <alignment vertical="top"/>
    </xf>
    <xf applyAlignment="1" borderId="0" fillId="0" fontId="7" numFmtId="0" pivotButton="0" quotePrefix="0" xfId="0">
      <alignment vertical="top" wrapText="1"/>
    </xf>
    <xf applyAlignment="1" borderId="0" fillId="0" fontId="7" numFmtId="0" pivotButton="0" quotePrefix="0" xfId="0">
      <alignment vertical="top"/>
    </xf>
    <xf applyAlignment="1" borderId="0" fillId="0" fontId="6" numFmtId="0" pivotButton="0" quotePrefix="0" xfId="0">
      <alignment vertical="top"/>
    </xf>
    <xf borderId="0" fillId="0" fontId="2" numFmtId="0" pivotButton="0" quotePrefix="0" xfId="0"/>
  </cellXfs>
  <cellStyles count="3">
    <cellStyle builtinId="0" name="Normal" xfId="0"/>
    <cellStyle builtinId="8" hidden="1" name="Hyperkobling" xfId="1"/>
    <cellStyle builtinId="9" hidden="1" name="Benyttet hyperkobling" xfId="2"/>
  </cellStyles>
  <dxfs count="18">
    <dxf>
      <alignment horizontal="general" vertical="top" wrapText="1"/>
    </dxf>
    <dxf>
      <alignment horizontal="general" vertical="top" wrapText="1"/>
    </dxf>
    <dxf>
      <alignment horizontal="general" vertical="top" wrapText="1"/>
    </dxf>
    <dxf>
      <numFmt formatCode="General" numFmtId="0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/>
    </dxf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PivotStyle="PivotStyleMedium7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/Relationships>
</file>

<file path=xl/tables/table1.xml><?xml version="1.0" encoding="utf-8"?>
<table xmlns="http://schemas.openxmlformats.org/spreadsheetml/2006/main" dataDxfId="16" displayName="Tabell1" headerRowCount="1" headerRowDxfId="17" id="1" name="Tabell1" ref="A1:P271" totalsRowShown="0">
  <autoFilter ref="A1:P271"/>
  <sortState ref="A2:P271">
    <sortCondition ref="B1:B271"/>
  </sortState>
  <tableColumns count="16">
    <tableColumn dataDxfId="15" id="1" name="SSR1 gruppe"/>
    <tableColumn dataDxfId="14" id="2" name="SSR2 kategori"/>
    <tableColumn dataDxfId="13" id="13" name="SSR2 gruppe"/>
    <tableColumn dataDxfId="12" id="3" name="SSR1 navntype"/>
    <tableColumn dataDxfId="11" id="4" name="SSR2 navnetype"/>
    <tableColumn dataDxfId="1" id="16" name="SSR2 antall"/>
    <tableColumn dataDxfId="10" id="5" name="SSR1 antall"/>
    <tableColumn dataDxfId="9" id="6" name="SSR1 namn"/>
    <tableColumn dataDxfId="8" id="7" name="SSR2 beskrivelse"/>
    <tableColumn dataDxfId="7" id="8" name="SSR1 skildring"/>
    <tableColumn dataDxfId="0" id="15" name="Tags brukt i OSM, antall"/>
    <tableColumn dataDxfId="6" id="9" name="OSM tag"/>
    <tableColumn dataDxfId="5" id="10" name="tillegg"/>
    <tableColumn dataDxfId="4" id="11" name="fixme"/>
    <tableColumn dataDxfId="3" id="14" name="tag">
      <calculatedColumnFormula>CONCATENATE(Tabell1[[#This Row],[OSM tag]],";",Tabell1[[#This Row],[tillegg]],";",Tabell1[[#This Row],[fixme]])</calculatedColumnFormula>
    </tableColumn>
    <tableColumn dataDxfId="2" id="12" name="kommentar"/>
  </tableColumns>
  <tableStyleInfo name="TableStyleMedium9" showColumnStripes="0" showFirstColumn="0" showLastColumn="0" showRowStripes="1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Id="rId1" Target="/xl/tables/table1.xml" Type="http://schemas.openxmlformats.org/officeDocument/2006/relationships/table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71"/>
  <sheetViews>
    <sheetView tabSelected="1" topLeftCell="B1" workbookViewId="0">
      <selection activeCell="K2" sqref="K2"/>
    </sheetView>
  </sheetViews>
  <sheetFormatPr baseColWidth="10" defaultRowHeight="16"/>
  <cols>
    <col customWidth="1" hidden="1" max="1" min="1" style="12" width="8.1640625"/>
    <col customWidth="1" max="2" min="2" style="12" width="15"/>
    <col customWidth="1" max="3" min="3" style="12" width="21"/>
    <col customWidth="1" max="4" min="4" style="12" width="10.6640625"/>
    <col customWidth="1" max="5" min="5" style="12" width="27"/>
    <col customWidth="1" max="6" min="6" style="5" width="12.33203125"/>
    <col customWidth="1" max="7" min="7" style="12" width="10.83203125"/>
    <col customWidth="1" hidden="1" max="8" min="8" style="12" width="20.1640625"/>
    <col customWidth="1" max="9" min="9" style="2" width="58.6640625"/>
    <col customWidth="1" hidden="1" max="10" min="10" style="5" width="17.5"/>
    <col customWidth="1" max="11" min="11" width="43.1640625"/>
    <col customWidth="1" max="12" min="12" style="5" width="43.5"/>
    <col customWidth="1" max="13" min="13" style="12" width="16.1640625"/>
    <col customWidth="1" max="16" min="14" style="5" width="42.1640625"/>
    <col customWidth="1" max="18" min="18" style="5" width="42.1640625"/>
  </cols>
  <sheetData>
    <row customFormat="1" customHeight="1" ht="34" r="1" s="1">
      <c r="A1" s="5" t="inlineStr">
        <is>
          <t>SSR1 gruppe</t>
        </is>
      </c>
      <c r="B1" s="5" t="inlineStr">
        <is>
          <t>SSR2 kategori</t>
        </is>
      </c>
      <c r="C1" s="5" t="inlineStr">
        <is>
          <t>SSR2 gruppe</t>
        </is>
      </c>
      <c r="D1" s="5" t="inlineStr">
        <is>
          <t>SSR1 navntype</t>
        </is>
      </c>
      <c r="E1" s="5" t="inlineStr">
        <is>
          <t>SSR2 navnetype</t>
        </is>
      </c>
      <c r="F1" s="5" t="inlineStr">
        <is>
          <t>SSR2 antall</t>
        </is>
      </c>
      <c r="G1" s="5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5" t="inlineStr">
        <is>
          <t>SSR1 skildring</t>
        </is>
      </c>
      <c r="K1" s="5" t="inlineStr">
        <is>
          <t>Tags brukt i OSM, antall</t>
        </is>
      </c>
      <c r="L1" s="5" t="inlineStr">
        <is>
          <t>OSM tag</t>
        </is>
      </c>
      <c r="M1" s="5" t="inlineStr">
        <is>
          <t>tillegg</t>
        </is>
      </c>
      <c r="N1" s="5" t="inlineStr">
        <is>
          <t>fixme</t>
        </is>
      </c>
      <c r="O1" s="5" t="inlineStr">
        <is>
          <t>tag</t>
        </is>
      </c>
      <c r="P1" s="5" t="inlineStr">
        <is>
          <t>kommentar</t>
        </is>
      </c>
    </row>
    <row customHeight="1" ht="34" r="2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123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"ref:ssb_tettsted = 2531", 2
"ref:ssb_tettsted = 3531", 2
"email = postmottak@kristiansand.kommune.no", 2
"ref:ssb_tettsted = 2541", 2
"ref:ssb_tettsted = 2603", 2
"ref:ssb_tettsted = 3005", 6
"ref:ssb_tettsted = 3021", 2
"place = city", 2
"source:population = SSB", 2
"ref:ssb_tettsted = 4011", 2
"ref:ssb_tettsted = 3102", 2
"ref:ssb_tettsted = 2521", 2
"ref:ssb_tettsted = 3501", 2
"ref:ssb_tettsted = 2562", 2
"place = town", 54
"ref:ssb_tettsted = 2501", 2
"ref:ssb_tettsted = 3054", 2
"ref:ssb_tettsted = 2551", 2
"ref:ssb_tettsted = 4002", 2
"ref:ssb_tettsted = 4091", 2</t>
        </is>
      </c>
      <c r="L2" s="5" t="inlineStr">
        <is>
          <t>place=town</t>
        </is>
      </c>
      <c r="M2" s="12" t="n"/>
      <c r="O2" s="5">
        <f>CONCATENATE(Tabell1[[#This Row],[OSM tag]],";",Tabell1[[#This Row],[tillegg]],";",Tabell1[[#This Row],[fixme]])</f>
        <v/>
      </c>
      <c r="P2" s="5" t="inlineStr">
        <is>
          <t>Mostly towns; already mapped</t>
        </is>
      </c>
    </row>
    <row customHeight="1" ht="17" r="3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907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quarter", 24
"place = suburb", 46
"place = hamlet", 18
"place = neighbourhood", 19
"type = multipolygon", 9
"place = village", 210</t>
        </is>
      </c>
      <c r="L3" s="5" t="inlineStr">
        <is>
          <t>place=village</t>
        </is>
      </c>
      <c r="O3" s="5">
        <f>CONCATENATE(Tabell1[[#This Row],[OSM tag]],";",Tabell1[[#This Row],[tillegg]],";",Tabell1[[#This Row],[fixme]])</f>
        <v/>
      </c>
    </row>
    <row customHeight="1" ht="34" r="4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1014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quarter", 62
"place = suburb", 96
"place = hamlet", 52
"place = neighbourhood", 183
"place = village", 84</t>
        </is>
      </c>
      <c r="L4" s="5" t="inlineStr">
        <is>
          <t>place=quarter</t>
        </is>
      </c>
      <c r="M4" s="12" t="n"/>
      <c r="N4" s="5" t="inlineStr">
        <is>
          <t>fixme=consider place=suburb, village or hamlet</t>
        </is>
      </c>
      <c r="O4" s="5">
        <f>CONCATENATE(Tabell1[[#This Row],[OSM tag]],";",Tabell1[[#This Row],[tillegg]],";",Tabell1[[#This Row],[fixme]])</f>
        <v/>
      </c>
      <c r="P4" s="5" t="inlineStr">
        <is>
          <t>Mostly urban areas. 60% neighbourhood in test cases</t>
        </is>
      </c>
    </row>
    <row customHeight="1" ht="17" r="5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1985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suburb", 19
"place = hamlet", 163
"place = neighbourhood", 20
"place = village", 190</t>
        </is>
      </c>
      <c r="L5" s="5" t="inlineStr">
        <is>
          <t>place=village</t>
        </is>
      </c>
      <c r="N5" s="5" t="inlineStr">
        <is>
          <t>fixme=consider place=hamlet</t>
        </is>
      </c>
      <c r="O5" s="5">
        <f>CONCATENATE(Tabell1[[#This Row],[OSM tag]],";",Tabell1[[#This Row],[tillegg]],";",Tabell1[[#This Row],[fixme]])</f>
        <v/>
      </c>
      <c r="P5" s="5" t="inlineStr">
        <is>
          <t>60/20 village/hamlet in test cases</t>
        </is>
      </c>
    </row>
    <row customHeight="1" ht="17" r="6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3336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neighbourhood", 58
"place = hamlet", 751
"place = village", 37
"place = farm", 39</t>
        </is>
      </c>
      <c r="L6" s="5" t="inlineStr">
        <is>
          <t>place=hamlet</t>
        </is>
      </c>
      <c r="O6" s="5">
        <f>CONCATENATE(Tabell1[[#This Row],[OSM tag]],";",Tabell1[[#This Row],[tillegg]],";",Tabell1[[#This Row],[fixme]])</f>
        <v/>
      </c>
    </row>
    <row customHeight="1" ht="17" r="7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801
"place = quarter", 175
"place = suburb", 49</t>
        </is>
      </c>
      <c r="L7" s="5" t="inlineStr">
        <is>
          <t>place=quarter</t>
        </is>
      </c>
      <c r="O7" s="5">
        <f>CONCATENATE(Tabell1[[#This Row],[OSM tag]],";",Tabell1[[#This Row],[tillegg]],";",Tabell1[[#This Row],[fixme]])</f>
        <v/>
      </c>
    </row>
    <row customHeight="1" ht="17" r="8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497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"place = neighbourhood", 41
"type = multipolygon", 12
"man_made = wastewater_plant", 2
"place = locality", 26
"landuse = industrial", 53
"place = farm", 2
"natural = cape", 2
"place = quarter", 18
"landuse = retail", 2
"building = industrial", 4
"place = suburb", 7
"man_made = works", 2</t>
        </is>
      </c>
      <c r="L8" s="5" t="inlineStr">
        <is>
          <t>place=quarter</t>
        </is>
      </c>
      <c r="O8" s="5">
        <f>CONCATENATE(Tabell1[[#This Row],[OSM tag]],";",Tabell1[[#This Row],[tillegg]],";",Tabell1[[#This Row],[fixme]])</f>
        <v/>
      </c>
    </row>
    <row customHeight="1" ht="17" r="9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447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neighbourhood", 14
"place = village", 4
"place = quarter", 21
"place = suburb", 118</t>
        </is>
      </c>
      <c r="L9" s="5" t="inlineStr">
        <is>
          <t>place=suburb</t>
        </is>
      </c>
      <c r="O9" s="5">
        <f>CONCATENATE(Tabell1[[#This Row],[OSM tag]],";",Tabell1[[#This Row],[tillegg]],";",Tabell1[[#This Row],[fixme]])</f>
        <v/>
      </c>
    </row>
    <row customHeight="1" ht="34" r="10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835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164
"landuse = residential", 10
"place = quarter", 9</t>
        </is>
      </c>
      <c r="L10" s="5" t="inlineStr">
        <is>
          <t>place=neighbourhood</t>
        </is>
      </c>
      <c r="O10" s="5">
        <f>CONCATENATE(Tabell1[[#This Row],[OSM tag]],";",Tabell1[[#This Row],[tillegg]],";",Tabell1[[#This Row],[fixme]])</f>
        <v/>
      </c>
    </row>
    <row customHeight="1" ht="17" r="1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186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46</t>
        </is>
      </c>
      <c r="L11" s="5" t="inlineStr">
        <is>
          <t>place=square</t>
        </is>
      </c>
      <c r="O11" s="5">
        <f>CONCATENATE(Tabell1[[#This Row],[OSM tag]],";",Tabell1[[#This Row],[tillegg]],";",Tabell1[[#This Row],[fixme]])</f>
        <v/>
      </c>
    </row>
    <row customHeight="1" ht="17" r="12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67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neighbourhood", 2
"place = quarter", 6</t>
        </is>
      </c>
      <c r="L12" s="2" t="inlineStr">
        <is>
          <t>place=quarter</t>
        </is>
      </c>
      <c r="O12" s="5">
        <f>CONCATENATE(Tabell1[[#This Row],[OSM tag]],";",Tabell1[[#This Row],[tillegg]],";",Tabell1[[#This Row],[fixme]])</f>
        <v/>
      </c>
    </row>
    <row customHeight="1" ht="34" r="13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15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"historic = shieling", 2
"place = locality", 2
"place = farm", 3</t>
        </is>
      </c>
      <c r="M13" s="12" t="inlineStr">
        <is>
          <t>place=locality</t>
        </is>
      </c>
      <c r="O13" s="5">
        <f>CONCATENATE(Tabell1[[#This Row],[OSM tag]],";",Tabell1[[#This Row],[tillegg]],";",Tabell1[[#This Row],[fixme]])</f>
        <v/>
      </c>
    </row>
    <row customHeight="1" ht="17" r="14">
      <c r="A14" s="12" t="n">
        <v>5</v>
      </c>
      <c r="B14" s="12" t="inlineStr">
        <is>
          <t>bebyggelse</t>
        </is>
      </c>
      <c r="C14" s="12" t="inlineStr">
        <is>
          <t>bolighus</t>
        </is>
      </c>
      <c r="D14" s="12" t="n">
        <v>106</v>
      </c>
      <c r="E14" s="12" t="inlineStr">
        <is>
          <t>borettslag</t>
        </is>
      </c>
      <c r="F14" t="n">
        <v>28</v>
      </c>
      <c r="G14" s="12" t="n">
        <v>19</v>
      </c>
      <c r="H14" s="12" t="inlineStr">
        <is>
          <t>Borettslag</t>
        </is>
      </c>
      <c r="I14" s="2" t="inlineStr">
        <is>
          <t>Bofellesskap i blokk eller flerbebyggelse.</t>
        </is>
      </c>
      <c r="J14" s="12" t="inlineStr">
        <is>
          <t>Bofellesskap, vanligvis blokkbebyggelse</t>
        </is>
      </c>
      <c r="K14" s="1" t="inlineStr">
        <is>
          <t>"place = isolated_dwelling", 2</t>
        </is>
      </c>
      <c r="L14" s="5" t="inlineStr">
        <is>
          <t>place=neighbourhood</t>
        </is>
      </c>
      <c r="O14" s="5">
        <f>CONCATENATE(Tabell1[[#This Row],[OSM tag]],";",Tabell1[[#This Row],[tillegg]],";",Tabell1[[#This Row],[fixme]])</f>
        <v/>
      </c>
    </row>
    <row customHeight="1" ht="68" r="15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109</v>
      </c>
      <c r="E15" s="7" t="inlineStr">
        <is>
          <t>eneboligMindreBoligbygg</t>
        </is>
      </c>
      <c r="F15" t="n">
        <v>12114</v>
      </c>
      <c r="G15" s="12" t="n">
        <v>11736</v>
      </c>
      <c r="H15" s="12" t="inlineStr">
        <is>
          <t>Enebolig/mindre boligbygg</t>
        </is>
      </c>
      <c r="I15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5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5" s="1" t="inlineStr">
        <is>
          <t>"place = isolated_dwelling", 3373
"place = farm", 921</t>
        </is>
      </c>
      <c r="L15" s="2" t="inlineStr">
        <is>
          <t>place=isolated_dwelling</t>
        </is>
      </c>
      <c r="O15" s="5">
        <f>CONCATENATE(Tabell1[[#This Row],[OSM tag]],";",Tabell1[[#This Row],[tillegg]],";",Tabell1[[#This Row],[fixme]])</f>
        <v/>
      </c>
      <c r="P15" s="5" t="inlineStr">
        <is>
          <t>Mostly small farms in rural areas; old villas in urban areas</t>
        </is>
      </c>
    </row>
    <row customHeight="1" ht="17" r="16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110</v>
      </c>
      <c r="E16" s="12" t="inlineStr">
        <is>
          <t>fritidsbolig</t>
        </is>
      </c>
      <c r="F16" t="n">
        <v>13558</v>
      </c>
      <c r="G16" s="12" t="n">
        <v>13094</v>
      </c>
      <c r="H16" s="12" t="inlineStr">
        <is>
          <t>Fritidsbolig (hytte,  sommerhus)</t>
        </is>
      </c>
      <c r="I16" s="2" t="inlineStr">
        <is>
          <t>Eget navn på hytter og hus som ikke er ment for fast bosetting.</t>
        </is>
      </c>
      <c r="J16" s="12" t="inlineStr">
        <is>
          <t>Hus som ikke er ment for fast bosetting</t>
        </is>
      </c>
      <c r="K16" s="1" t="inlineStr">
        <is>
          <t>"historic = shieling", 710
"place = locality", 229
"building = cabin", 3703
"place = isolated_dwelling", 4847</t>
        </is>
      </c>
      <c r="L16" s="2" t="inlineStr">
        <is>
          <t>place=isolated_dwelling</t>
        </is>
      </c>
      <c r="O16" s="5">
        <f>CONCATENATE(Tabell1[[#This Row],[OSM tag]],";",Tabell1[[#This Row],[tillegg]],";",Tabell1[[#This Row],[fixme]])</f>
        <v/>
      </c>
    </row>
    <row customHeight="1" ht="51" r="17">
      <c r="A17" s="12" t="n">
        <v>8</v>
      </c>
      <c r="B17" s="12" t="inlineStr">
        <is>
          <t>bebyggelse</t>
        </is>
      </c>
      <c r="C17" s="12" t="inlineStr">
        <is>
          <t>bolighus</t>
        </is>
      </c>
      <c r="D17" s="12" t="n">
        <v>206</v>
      </c>
      <c r="E17" s="12" t="inlineStr">
        <is>
          <t>gammelBosettingsplass</t>
        </is>
      </c>
      <c r="F17" t="n">
        <v>10440</v>
      </c>
      <c r="G17" s="12" t="n">
        <v>6992</v>
      </c>
      <c r="H17" s="12" t="inlineStr">
        <is>
          <t>Gammel bosettingsplass</t>
        </is>
      </c>
      <c r="I17" s="2" t="inlineStr">
        <is>
          <t>Nedlagt bruk, seter, boplass hvor bygningen(e) er borte eller bare tuftene er tilbake.</t>
        </is>
      </c>
      <c r="J17" s="12" t="inlineStr">
        <is>
          <t>Nedlagt bruk, seter, boplass, gamme. Merk! Husa er borte eller kun ruin</t>
        </is>
      </c>
      <c r="K17" s="1" t="inlineStr">
        <is>
          <t>"historic = shieling", 954
"place = locality", 5631
"historic = ruins", 837</t>
        </is>
      </c>
      <c r="L17" s="2" t="n"/>
      <c r="M17" s="12" t="inlineStr">
        <is>
          <t>place=locality</t>
        </is>
      </c>
      <c r="O17" s="5">
        <f>CONCATENATE(Tabell1[[#This Row],[OSM tag]],";",Tabell1[[#This Row],[tillegg]],";",Tabell1[[#This Row],[fixme]])</f>
        <v/>
      </c>
      <c r="P17" s="5" t="inlineStr">
        <is>
          <t xml:space="preserve">A systematic review of high definition aerial photos for Vinje reveiled that most sites had visible ruins </t>
        </is>
      </c>
    </row>
    <row customHeight="1" ht="34" r="18">
      <c r="A18" s="12" t="n">
        <v>5</v>
      </c>
      <c r="B18" s="12" t="inlineStr">
        <is>
          <t>bebyggelse</t>
        </is>
      </c>
      <c r="C18" s="12" t="inlineStr">
        <is>
          <t>bolighus</t>
        </is>
      </c>
      <c r="D18" s="12" t="n">
        <v>259</v>
      </c>
      <c r="E18" s="12" t="inlineStr">
        <is>
          <t>boligblokk</t>
        </is>
      </c>
      <c r="F18" t="n">
        <v>11</v>
      </c>
      <c r="G18" s="12" t="n">
        <v>3</v>
      </c>
      <c r="H18" s="12" t="inlineStr">
        <is>
          <t>Boligblokk</t>
        </is>
      </c>
      <c r="I18" s="2" t="inlineStr">
        <is>
          <t>Stort (bolig)hus av mur, betong med over fire boliger som har felles trapp(er) eller heis(er).</t>
        </is>
      </c>
      <c r="J18" s="12" t="inlineStr">
        <is>
          <t>Stort boligbygg med 2 eller flere etasjer hvor det er 5 eller flere boligenheter</t>
        </is>
      </c>
      <c r="K18" s="1" t="inlineStr">
        <is>
          <t>"building = apartments", 2</t>
        </is>
      </c>
      <c r="L18" s="5" t="inlineStr">
        <is>
          <t>building=apartments</t>
        </is>
      </c>
      <c r="M18" s="12" t="n"/>
      <c r="O18" s="5">
        <f>CONCATENATE(Tabell1[[#This Row],[OSM tag]],";",Tabell1[[#This Row],[tillegg]],";",Tabell1[[#This Row],[fixme]])</f>
        <v/>
      </c>
    </row>
    <row customHeight="1" ht="17" r="19">
      <c r="A19" s="12" t="n">
        <v>3</v>
      </c>
      <c r="B19" s="12" t="inlineStr">
        <is>
          <t>bebyggelse</t>
        </is>
      </c>
      <c r="C19" s="12" t="inlineStr">
        <is>
          <t>fritidsanlegg</t>
        </is>
      </c>
      <c r="D19" s="12" t="n">
        <v>72</v>
      </c>
      <c r="E19" s="12" t="inlineStr">
        <is>
          <t>park</t>
        </is>
      </c>
      <c r="F19" t="n">
        <v>158</v>
      </c>
      <c r="G19" s="12" t="n">
        <v>131</v>
      </c>
      <c r="H19" s="12" t="inlineStr">
        <is>
          <t>Park</t>
        </is>
      </c>
      <c r="I19" s="2" t="inlineStr">
        <is>
          <t>Kultivert grøntområde i by/tettsted.</t>
        </is>
      </c>
      <c r="J19" s="12" t="inlineStr">
        <is>
          <t>Kultivert område med eller uten trær, kolonihage (i by eller tettbygd strøk)</t>
        </is>
      </c>
      <c r="K19" s="1" t="inlineStr">
        <is>
          <t>"leisure = park", 31
"natural = wood", 3
"type = multipolygon", 4</t>
        </is>
      </c>
      <c r="L19" s="5" t="inlineStr">
        <is>
          <t>leisure=park</t>
        </is>
      </c>
      <c r="O19" s="5">
        <f>CONCATENATE(Tabell1[[#This Row],[OSM tag]],";",Tabell1[[#This Row],[tillegg]],";",Tabell1[[#This Row],[fixme]])</f>
        <v/>
      </c>
    </row>
    <row customHeight="1" ht="34" r="20">
      <c r="A20" s="12" t="n">
        <v>5</v>
      </c>
      <c r="B20" s="12" t="inlineStr">
        <is>
          <t>bebyggelse</t>
        </is>
      </c>
      <c r="C20" s="12" t="inlineStr">
        <is>
          <t>fritidsanlegg</t>
        </is>
      </c>
      <c r="D20" s="12" t="n">
        <v>128</v>
      </c>
      <c r="E20" s="12" t="inlineStr">
        <is>
          <t>idrettshall</t>
        </is>
      </c>
      <c r="F20" t="n">
        <v>122</v>
      </c>
      <c r="G20" s="12" t="n">
        <v>80</v>
      </c>
      <c r="H20" s="12" t="inlineStr">
        <is>
          <t>Idrettshall</t>
        </is>
      </c>
      <c r="I20" s="2" t="inlineStr">
        <is>
          <t>Alle typer innendørsanlegg, f.eks. ishall, svømmehall, idrettshall og ridehall.</t>
        </is>
      </c>
      <c r="J20" s="12" t="inlineStr">
        <is>
          <t>Alle typer innendørsanlegg, f.eks. ishall, svømmehall, idrettshall</t>
        </is>
      </c>
      <c r="K20" s="1" t="inlineStr">
        <is>
          <t>"building = public", 2
"amenity = sports_centre", 23
"building = yes", 4</t>
        </is>
      </c>
      <c r="L20" s="5" t="inlineStr">
        <is>
          <t>amenity=sports_centre</t>
        </is>
      </c>
      <c r="O20" s="5">
        <f>CONCATENATE(Tabell1[[#This Row],[OSM tag]],";",Tabell1[[#This Row],[tillegg]],";",Tabell1[[#This Row],[fixme]])</f>
        <v/>
      </c>
    </row>
    <row customHeight="1" ht="17" r="21">
      <c r="A21" s="12" t="n">
        <v>8</v>
      </c>
      <c r="B21" s="12" t="inlineStr">
        <is>
          <t>bebyggelse</t>
        </is>
      </c>
      <c r="C21" s="12" t="inlineStr">
        <is>
          <t>fritidsanlegg</t>
        </is>
      </c>
      <c r="D21" s="12" t="n">
        <v>190</v>
      </c>
      <c r="E21" s="12" t="inlineStr">
        <is>
          <t>idrettsanlegg</t>
        </is>
      </c>
      <c r="F21" t="n">
        <v>727</v>
      </c>
      <c r="G21" s="12" t="n">
        <v>513</v>
      </c>
      <c r="H21" s="12" t="inlineStr">
        <is>
          <t>Idrettsanlegg</t>
        </is>
      </c>
      <c r="I21" s="2" t="inlineStr">
        <is>
          <t>Alle typer utendørsanlegg for idrett.</t>
        </is>
      </c>
      <c r="J21" s="12" t="inlineStr">
        <is>
          <t>Alle typer utendørsanlegg. Skriv type i merknadsfeltet, f.eks. Ridebane, fotballbane.</t>
        </is>
      </c>
      <c r="K21" s="1" t="inlineStr">
        <is>
          <t>"leisure = sports_centre", 8
"type = multipolygon", 7
"place = locality", 19
"leisure = track", 3
"sport = soccer", 32
"leisure = pitch", 78
"piste:type = ski_jump", 6
"surface = grass", 5
"sport = horse_racing", 5</t>
        </is>
      </c>
      <c r="L21" s="5" t="inlineStr">
        <is>
          <t>leisure=pitch</t>
        </is>
      </c>
      <c r="O21" s="5">
        <f>CONCATENATE(Tabell1[[#This Row],[OSM tag]],";",Tabell1[[#This Row],[tillegg]],";",Tabell1[[#This Row],[fixme]])</f>
        <v/>
      </c>
    </row>
    <row customHeight="1" ht="34" r="22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192</v>
      </c>
      <c r="E22" s="12" t="inlineStr">
        <is>
          <t>skiheis</t>
        </is>
      </c>
      <c r="F22" t="n">
        <v>32</v>
      </c>
      <c r="G22" s="12" t="n">
        <v>24</v>
      </c>
      <c r="H22" s="12" t="inlineStr">
        <is>
          <t>Skiheis</t>
        </is>
      </c>
      <c r="I22" s="2" t="inlineStr">
        <is>
          <t>Skitrekk og stolheis i skianlegg.</t>
        </is>
      </c>
      <c r="J22" s="12" t="inlineStr">
        <is>
          <t>Skitrekk og stolheis i skianlegg</t>
        </is>
      </c>
      <c r="K22" s="1" t="inlineStr"/>
      <c r="L22" s="5" t="inlineStr">
        <is>
          <t>aerialway=drag_lift</t>
        </is>
      </c>
      <c r="N22" s="5" t="inlineStr">
        <is>
          <t>fixme=consider the other aerialway types</t>
        </is>
      </c>
      <c r="O22" s="5">
        <f>CONCATENATE(Tabell1[[#This Row],[OSM tag]],";",Tabell1[[#This Row],[tillegg]],";",Tabell1[[#This Row],[fixme]])</f>
        <v/>
      </c>
    </row>
    <row customHeight="1" ht="17" r="23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194</v>
      </c>
      <c r="E23" s="12" t="inlineStr">
        <is>
          <t>alpinanlegg</t>
        </is>
      </c>
      <c r="F23" t="n">
        <v>60</v>
      </c>
      <c r="G23" s="12" t="n">
        <v>45</v>
      </c>
      <c r="H23" s="12" t="inlineStr">
        <is>
          <t>Slalåm- og utforbakke</t>
        </is>
      </c>
      <c r="I23" s="2" t="inlineStr">
        <is>
          <t>Anlegg for slalåm, utfor, snøbrett osv.</t>
        </is>
      </c>
      <c r="J23" s="12" t="inlineStr">
        <is>
          <t>Alle typer regulerte alpinanlegg</t>
        </is>
      </c>
      <c r="K23" s="1" t="inlineStr">
        <is>
          <t>"landuse = winter_sports", 2
"place = locality", 4
"piste:type = downhill", 2</t>
        </is>
      </c>
      <c r="L23" s="5" t="inlineStr">
        <is>
          <t>landuse=winter_sports; piste:type=downhill</t>
        </is>
      </c>
      <c r="O23" s="5">
        <f>CONCATENATE(Tabell1[[#This Row],[OSM tag]],";",Tabell1[[#This Row],[tillegg]],";",Tabell1[[#This Row],[fixme]])</f>
        <v/>
      </c>
    </row>
    <row customHeight="1" ht="34" r="24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222</v>
      </c>
      <c r="E24" s="12" t="inlineStr">
        <is>
          <t>badeplass</t>
        </is>
      </c>
      <c r="F24" t="n">
        <v>80</v>
      </c>
      <c r="G24" s="12" t="n">
        <v>45</v>
      </c>
      <c r="H24" s="12" t="inlineStr">
        <is>
          <t>Badeplass</t>
        </is>
      </c>
      <c r="I24" s="2" t="inlineStr">
        <is>
          <t>Offentlig eller privat badeplass.</t>
        </is>
      </c>
      <c r="J24" s="12" t="inlineStr">
        <is>
          <t>Offentlig og privat badeplass</t>
        </is>
      </c>
      <c r="K24" s="1" t="inlineStr">
        <is>
          <t>"surface = sand", 12
"layer = 2", 6
"leisure = swimming_area", 20
"place = locality", 24
"natural = beach", 12
"description:no = Stranda har fått navnet sitt etter den rødfarget sanden, denne rødfargen stammer fra ned rustet tyskt materiell som ble ligende her etter 2. verdenskrig, som nettopp minner om kanelfarge.", 2</t>
        </is>
      </c>
      <c r="L24" s="5" t="inlineStr">
        <is>
          <t>leisure=swimming_area</t>
        </is>
      </c>
      <c r="M24" s="12" t="inlineStr">
        <is>
          <t>place=locality</t>
        </is>
      </c>
      <c r="N24" s="5" t="inlineStr">
        <is>
          <t>fixme=consider natural=beach + surface=sand</t>
        </is>
      </c>
      <c r="O24" s="5">
        <f>CONCATENATE(Tabell1[[#This Row],[OSM tag]],";",Tabell1[[#This Row],[tillegg]],";",Tabell1[[#This Row],[fixme]])</f>
        <v/>
      </c>
    </row>
    <row customHeight="1" ht="17" r="25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223</v>
      </c>
      <c r="E25" s="12" t="inlineStr">
        <is>
          <t>fornøyelsespark</t>
        </is>
      </c>
      <c r="F25" t="n">
        <v>12</v>
      </c>
      <c r="G25" s="12" t="n">
        <v>12</v>
      </c>
      <c r="H25" s="12" t="inlineStr">
        <is>
          <t>Fornøyelsespark</t>
        </is>
      </c>
      <c r="I25" s="2" t="inlineStr">
        <is>
          <t>Store, regulerte anlegg.</t>
        </is>
      </c>
      <c r="J25" s="12" t="inlineStr">
        <is>
          <t>Bare store, regulerte anlegg</t>
        </is>
      </c>
      <c r="K25" s="1" t="inlineStr"/>
      <c r="L25" s="5" t="inlineStr">
        <is>
          <t>tourism=theme_park</t>
        </is>
      </c>
      <c r="M25" s="12" t="n"/>
      <c r="O25" s="5">
        <f>CONCATENATE(Tabell1[[#This Row],[OSM tag]],";",Tabell1[[#This Row],[tillegg]],";",Tabell1[[#This Row],[fixme]])</f>
        <v/>
      </c>
    </row>
    <row customHeight="1" ht="34" r="26">
      <c r="A26" s="12" t="n">
        <v>5</v>
      </c>
      <c r="B26" s="12" t="inlineStr">
        <is>
          <t>bebyggelse</t>
        </is>
      </c>
      <c r="C26" s="12" t="inlineStr">
        <is>
          <t>gardsbebyggelse</t>
        </is>
      </c>
      <c r="D26" s="12" t="n">
        <v>108</v>
      </c>
      <c r="E26" s="12" t="inlineStr">
        <is>
          <t>bruk</t>
        </is>
      </c>
      <c r="F26" t="n">
        <v>101927</v>
      </c>
      <c r="G26" s="12" t="n">
        <v>117578</v>
      </c>
      <c r="H26" s="12" t="inlineStr">
        <is>
          <t>Bruk</t>
        </is>
      </c>
      <c r="I26" s="2" t="inlineStr">
        <is>
          <t>Navn på (landbruks)eiendom med ett eller flere bruksnummer under ett gardsnummer, jf. lov om stadnamn §§ 2 og 8.</t>
        </is>
      </c>
      <c r="J26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6" s="1" t="inlineStr">
        <is>
          <t>"place = farm", 28179</t>
        </is>
      </c>
      <c r="L26" s="5" t="inlineStr">
        <is>
          <t>place=farm</t>
        </is>
      </c>
      <c r="O26" s="5">
        <f>CONCATENATE(Tabell1[[#This Row],[OSM tag]],";",Tabell1[[#This Row],[tillegg]],";",Tabell1[[#This Row],[fixme]])</f>
        <v/>
      </c>
      <c r="P26" s="5" t="inlineStr">
        <is>
          <t>Very important named places in rural areas</t>
        </is>
      </c>
    </row>
    <row customHeight="1" ht="34" r="27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111</v>
      </c>
      <c r="E27" s="12" t="inlineStr">
        <is>
          <t>seterStøl</t>
        </is>
      </c>
      <c r="F27" t="n">
        <v>22013</v>
      </c>
      <c r="G27" s="12" t="n">
        <v>18129</v>
      </c>
      <c r="H27" s="12" t="inlineStr">
        <is>
          <t>Seter (sel, støl)</t>
        </is>
      </c>
      <c r="I27" s="2" t="inlineStr">
        <is>
          <t>Enklere landbruksbebyggelse med hus. Kan ha periodisk fast bosetting, vanligvis sommerstid.</t>
        </is>
      </c>
      <c r="J27" s="12" t="inlineStr">
        <is>
          <t>Enklere landbruksbebyggelse. Kan ha periodisk fast bosetting, vanligvis sommerstid</t>
        </is>
      </c>
      <c r="K27" s="1" t="inlineStr">
        <is>
          <t>"historic = shieling", 6162
"place = locality", 5097
"building = cabin", 587
"place = isolated_dwelling", 1085</t>
        </is>
      </c>
      <c r="L27" s="5" t="inlineStr">
        <is>
          <t>historic=shieling</t>
        </is>
      </c>
      <c r="M27" s="12" t="inlineStr">
        <is>
          <t>place=locality</t>
        </is>
      </c>
      <c r="O27" s="5">
        <f>CONCATENATE(Tabell1[[#This Row],[OSM tag]],";",Tabell1[[#This Row],[tillegg]],";",Tabell1[[#This Row],[fixme]])</f>
        <v/>
      </c>
      <c r="P27" s="5" t="inlineStr">
        <is>
          <t>historic=summer_mountain_farm also used</t>
        </is>
      </c>
    </row>
    <row customHeight="1" ht="17" r="28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112</v>
      </c>
      <c r="E28" s="12" t="inlineStr">
        <is>
          <t>byggForJordbrukFiskeOgFangst</t>
        </is>
      </c>
      <c r="F28" t="n">
        <v>3918</v>
      </c>
      <c r="G28" s="12" t="n">
        <v>3963</v>
      </c>
      <c r="H28" s="12" t="inlineStr">
        <is>
          <t>Bygg for jordbruk, fiske og fangst</t>
        </is>
      </c>
      <c r="I28" s="2" t="inlineStr">
        <is>
          <t>Til primærnæring, f.eks. naust, uthus, sommerfjøs eller gamme.</t>
        </is>
      </c>
      <c r="J28" s="12" t="inlineStr">
        <is>
          <t>Bu, naust, uthus, fjøs, gamme</t>
        </is>
      </c>
      <c r="K28" s="1" t="inlineStr">
        <is>
          <t>"building = yes", 58
"historic = shieling", 213
"place = locality", 1269
"building = farm_auxiliary", 464</t>
        </is>
      </c>
      <c r="M28" s="12" t="inlineStr">
        <is>
          <t>place=locality</t>
        </is>
      </c>
      <c r="O28" s="5">
        <f>CONCATENATE(Tabell1[[#This Row],[OSM tag]],";",Tabell1[[#This Row],[tillegg]],";",Tabell1[[#This Row],[fixme]])</f>
        <v/>
      </c>
    </row>
    <row customHeight="1" ht="34" r="29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170</v>
      </c>
      <c r="E29" s="12" t="inlineStr">
        <is>
          <t>eiendom</t>
        </is>
      </c>
      <c r="F29" t="n">
        <v>3754</v>
      </c>
      <c r="G29" s="12" t="n">
        <v>2651</v>
      </c>
      <c r="H29" s="12" t="inlineStr">
        <is>
          <t>Eiendom</t>
        </is>
      </c>
      <c r="I29" s="2" t="inlineStr">
        <is>
          <t>Navn på eiendom som ikke er bruksnavn, ev. felles stedsnavn for flere eiendommer.</t>
        </is>
      </c>
      <c r="J29" s="12" t="inlineStr">
        <is>
          <t>Eiendomsnavn (Skal IKKE brukes ved senere registreringer)</t>
        </is>
      </c>
      <c r="K29" s="1" t="inlineStr">
        <is>
          <t>"historic = shieling", 50
"place = locality", 849
"place = farm", 113</t>
        </is>
      </c>
      <c r="M29" s="5" t="inlineStr">
        <is>
          <t>place=locality</t>
        </is>
      </c>
      <c r="O29" s="5">
        <f>CONCATENATE(Tabell1[[#This Row],[OSM tag]],";",Tabell1[[#This Row],[tillegg]],";",Tabell1[[#This Row],[fixme]])</f>
        <v/>
      </c>
    </row>
    <row customHeight="1" ht="34" r="30">
      <c r="A30" s="12" t="n">
        <v>8</v>
      </c>
      <c r="B30" s="12" t="inlineStr">
        <is>
          <t>bebyggelse</t>
        </is>
      </c>
      <c r="C30" s="12" t="inlineStr">
        <is>
          <t>gardsbebyggelse</t>
        </is>
      </c>
      <c r="D30" s="12" t="n">
        <v>233</v>
      </c>
      <c r="E30" s="12" t="inlineStr">
        <is>
          <t>gjerde</t>
        </is>
      </c>
      <c r="F30" t="n">
        <v>124</v>
      </c>
      <c r="G30" s="12" t="n">
        <v>80</v>
      </c>
      <c r="H30" s="12" t="inlineStr">
        <is>
          <t>Gjerde</t>
        </is>
      </c>
      <c r="I30" s="2" t="inlineStr">
        <is>
          <t>Oppsatt stengsel, vern, skille mellom jordstykker, eiendommer eller beiteområder.</t>
        </is>
      </c>
      <c r="J30" s="12" t="inlineStr">
        <is>
          <t>Steingjerde, tregjerde o.l.</t>
        </is>
      </c>
      <c r="K30" s="1" t="inlineStr">
        <is>
          <t>"place = locality", 4</t>
        </is>
      </c>
      <c r="L30" s="5" t="inlineStr">
        <is>
          <t>barrier=fence</t>
        </is>
      </c>
      <c r="O30" s="5">
        <f>CONCATENATE(Tabell1[[#This Row],[OSM tag]],";",Tabell1[[#This Row],[tillegg]],";",Tabell1[[#This Row],[fixme]])</f>
        <v/>
      </c>
    </row>
    <row customHeight="1" ht="34" r="31">
      <c r="A31" s="12" t="n">
        <v>5</v>
      </c>
      <c r="B31" s="12" t="inlineStr">
        <is>
          <t>bebyggelse</t>
        </is>
      </c>
      <c r="C31" s="12" t="inlineStr">
        <is>
          <t>gardsbebyggelse</t>
        </is>
      </c>
      <c r="D31" s="12" t="n">
        <v>280</v>
      </c>
      <c r="E31" s="12" t="inlineStr">
        <is>
          <t>gard</t>
        </is>
      </c>
      <c r="F31" t="n">
        <v>35836</v>
      </c>
      <c r="G31" s="12" t="n">
        <v>3119</v>
      </c>
      <c r="H31" s="12" t="inlineStr">
        <is>
          <t>Gard</t>
        </is>
      </c>
      <c r="I31" s="13" t="inlineStr">
        <is>
          <t>Felles navn for et helt gardsnummer (jf. § 8 i lov om stadnamn).</t>
        </is>
      </c>
      <c r="J31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1" s="1" t="inlineStr">
        <is>
          <t>"place = hamlet", 1890
"place = farm", 8032</t>
        </is>
      </c>
      <c r="L31" s="5" t="inlineStr">
        <is>
          <t>place=farm</t>
        </is>
      </c>
      <c r="N31" s="5" t="inlineStr">
        <is>
          <t>fixme=consider place=hamlet</t>
        </is>
      </c>
      <c r="O31" s="5">
        <f>CONCATENATE(Tabell1[[#This Row],[OSM tag]],";",Tabell1[[#This Row],[tillegg]],";",Tabell1[[#This Row],[fixme]])</f>
        <v/>
      </c>
      <c r="P31" s="5" t="inlineStr">
        <is>
          <t>Used for main farm in this area. 60/40 hamlet/farm in test cases.</t>
        </is>
      </c>
    </row>
    <row customHeight="1" ht="51" r="32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305</v>
      </c>
      <c r="E32" s="12" t="inlineStr">
        <is>
          <t>navnegard</t>
        </is>
      </c>
      <c r="F32" t="n">
        <v>2652</v>
      </c>
      <c r="G32" s="12" t="n">
        <v>97</v>
      </c>
      <c r="H32" s="12" t="inlineStr">
        <is>
          <t>Navnegard</t>
        </is>
      </c>
      <c r="I32" s="2" t="inlineStr">
        <is>
          <t>Opprinnelig navn fra før garden ble oppdelt i gards- og bruksenheter. Navnegardens utbredelse kan omfatte flere enn ett gardsnummer.</t>
        </is>
      </c>
      <c r="J32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2" s="1" t="inlineStr">
        <is>
          <t>"place = hamlet", 440
"place = farm", 110</t>
        </is>
      </c>
      <c r="L32" s="5" t="inlineStr">
        <is>
          <t>place=hamlet</t>
        </is>
      </c>
      <c r="O32" s="5">
        <f>CONCATENATE(Tabell1[[#This Row],[OSM tag]],";",Tabell1[[#This Row],[tillegg]],";",Tabell1[[#This Row],[fixme]])</f>
        <v/>
      </c>
      <c r="P32" s="5" t="inlineStr">
        <is>
          <t>Used for group of farms; important named place for rural areas</t>
        </is>
      </c>
    </row>
    <row customHeight="1" ht="17" r="33">
      <c r="A33" s="12" t="n">
        <v>5</v>
      </c>
      <c r="B33" s="12" t="inlineStr">
        <is>
          <t>bebyggelse</t>
        </is>
      </c>
      <c r="C33" s="12" t="inlineStr">
        <is>
          <t>institusjoner</t>
        </is>
      </c>
      <c r="D33" s="12" t="n">
        <v>120</v>
      </c>
      <c r="E33" s="12" t="inlineStr">
        <is>
          <t>skole</t>
        </is>
      </c>
      <c r="F33" t="n">
        <v>2170</v>
      </c>
      <c r="G33" s="12" t="n">
        <v>1732</v>
      </c>
      <c r="H33" s="12" t="inlineStr">
        <is>
          <t>Skole</t>
        </is>
      </c>
      <c r="I33" s="2" t="inlineStr">
        <is>
          <t>Offentlig og privat skole.</t>
        </is>
      </c>
      <c r="J33" s="12" t="inlineStr">
        <is>
          <t>Offentlig og privat skole</t>
        </is>
      </c>
      <c r="K33" s="1" t="inlineStr">
        <is>
          <t>"building = yes", 73
"grades = 1-10", 24
"amenity = school", 176
"grades = 11-14", 18
"isced:level = 1;2", 28
"place = locality", 51
"grades = 1-7", 74
"isced:level = 3", 20
"was:amenity = school", 8
"disused:amenity = school", 8
"operator:type = public", 121
"fee = yes", 14
"building = school", 14
"isced:level = 2", 21
"isced:level = 1", 82
"grades = 1-4", 8
"grades = 8-10", 21
"fee = no", 137
"operator:type = private", 14
"operator:type = public/government", 16</t>
        </is>
      </c>
      <c r="L33" s="5" t="inlineStr">
        <is>
          <t>amenity=school</t>
        </is>
      </c>
      <c r="O33" s="5">
        <f>CONCATENATE(Tabell1[[#This Row],[OSM tag]],";",Tabell1[[#This Row],[tillegg]],";",Tabell1[[#This Row],[fixme]])</f>
        <v/>
      </c>
    </row>
    <row customHeight="1" ht="17" r="34">
      <c r="A34" s="12" t="n">
        <v>5</v>
      </c>
      <c r="B34" s="12" t="inlineStr">
        <is>
          <t>bebyggelse</t>
        </is>
      </c>
      <c r="C34" s="12" t="inlineStr">
        <is>
          <t>institusjoner</t>
        </is>
      </c>
      <c r="D34" s="12" t="n">
        <v>121</v>
      </c>
      <c r="E34" s="12" t="inlineStr">
        <is>
          <t>sykehus</t>
        </is>
      </c>
      <c r="F34" t="n">
        <v>93</v>
      </c>
      <c r="G34" s="12" t="n">
        <v>88</v>
      </c>
      <c r="H34" s="12" t="inlineStr">
        <is>
          <t>Sykehus</t>
        </is>
      </c>
      <c r="I34" s="2" t="inlineStr">
        <is>
          <t>Offentlig og privat sykehus.</t>
        </is>
      </c>
      <c r="J34" s="12" t="inlineStr">
        <is>
          <t>Offentlig og privat sykehus</t>
        </is>
      </c>
      <c r="K34" s="1" t="inlineStr">
        <is>
          <t>"amenity = hospital", 15
"healthcare = hospital", 3</t>
        </is>
      </c>
      <c r="L34" s="5" t="inlineStr">
        <is>
          <t>amenity=hospital</t>
        </is>
      </c>
      <c r="O34" s="5">
        <f>CONCATENATE(Tabell1[[#This Row],[OSM tag]],";",Tabell1[[#This Row],[tillegg]],";",Tabell1[[#This Row],[fixme]])</f>
        <v/>
      </c>
    </row>
    <row customHeight="1" ht="17" r="35">
      <c r="A35" s="12" t="n">
        <v>5</v>
      </c>
      <c r="B35" s="12" t="inlineStr">
        <is>
          <t>bebyggelse</t>
        </is>
      </c>
      <c r="C35" s="12" t="inlineStr">
        <is>
          <t>institusjoner</t>
        </is>
      </c>
      <c r="D35" s="12" t="n">
        <v>122</v>
      </c>
      <c r="E35" s="12" t="inlineStr">
        <is>
          <t>helseinstitusjon</t>
        </is>
      </c>
      <c r="F35" t="n">
        <v>438</v>
      </c>
      <c r="G35" s="12" t="n">
        <v>342</v>
      </c>
      <c r="H35" s="12" t="inlineStr">
        <is>
          <t>Helseinstitusjon</t>
        </is>
      </c>
      <c r="I35" s="2" t="inlineStr">
        <is>
          <t>Aldershjem, rekreasjonshjem og lignende.</t>
        </is>
      </c>
      <c r="J35" s="12" t="inlineStr">
        <is>
          <t>Aldershjem, rekreasjonshjem o.l.</t>
        </is>
      </c>
      <c r="K35" s="1" t="inlineStr">
        <is>
          <t>"building = yes", 4
"amenity = social_facility", 3
"place = locality", 6
"amenity = nursing_home", 80</t>
        </is>
      </c>
      <c r="L35" s="5" t="inlineStr">
        <is>
          <t>amenity=nursing_home</t>
        </is>
      </c>
      <c r="O35" s="5">
        <f>CONCATENATE(Tabell1[[#This Row],[OSM tag]],";",Tabell1[[#This Row],[tillegg]],";",Tabell1[[#This Row],[fixme]])</f>
        <v/>
      </c>
    </row>
    <row customHeight="1" ht="34" r="36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126</v>
      </c>
      <c r="E36" s="7" t="inlineStr">
        <is>
          <t>vaktstasjonBeredsskapsbygning</t>
        </is>
      </c>
      <c r="F36" t="n">
        <v>61</v>
      </c>
      <c r="G36" s="12" t="n">
        <v>55</v>
      </c>
      <c r="H36" s="12" t="inlineStr">
        <is>
          <t>Vaktstasjon/beredsskapsby gning</t>
        </is>
      </c>
      <c r="I36" s="2" t="inlineStr">
        <is>
          <t>Bygning for politi/brann/los/toll/ambulanse/fly- og skipsovervåkning.</t>
        </is>
      </c>
      <c r="J36" s="12" t="inlineStr">
        <is>
          <t>Bygning for politi/brann/los/toll/ambulanse/fly- og skipsovervåkning</t>
        </is>
      </c>
      <c r="K36" s="1" t="inlineStr">
        <is>
          <t>"place = locality", 2
"building = civic", 10</t>
        </is>
      </c>
      <c r="L36" s="5" t="inlineStr">
        <is>
          <t>building=civic</t>
        </is>
      </c>
      <c r="O36" s="5">
        <f>CONCATENATE(Tabell1[[#This Row],[OSM tag]],";",Tabell1[[#This Row],[tillegg]],";",Tabell1[[#This Row],[fixme]])</f>
        <v/>
      </c>
    </row>
    <row customHeight="1" ht="17" r="37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127</v>
      </c>
      <c r="E37" s="12" t="inlineStr">
        <is>
          <t>militærtByggAnlegg</t>
        </is>
      </c>
      <c r="F37" t="n">
        <v>82</v>
      </c>
      <c r="G37" s="12" t="n">
        <v>67</v>
      </c>
      <c r="H37" s="12" t="inlineStr">
        <is>
          <t>Militært bygg/anlegg</t>
        </is>
      </c>
      <c r="I37" s="2" t="inlineStr">
        <is>
          <t>Militærleir.</t>
        </is>
      </c>
      <c r="J37" s="12" t="inlineStr">
        <is>
          <t>Militærleir, militært bygg</t>
        </is>
      </c>
      <c r="K37" s="1" t="inlineStr">
        <is>
          <t>"place = neighbourhood", 4
"natural = bay", 2
"landuse = military", 9
"place = locality", 3</t>
        </is>
      </c>
      <c r="L37" s="5" t="inlineStr">
        <is>
          <t>landuse=military</t>
        </is>
      </c>
      <c r="O37" s="5">
        <f>CONCATENATE(Tabell1[[#This Row],[OSM tag]],";",Tabell1[[#This Row],[tillegg]],";",Tabell1[[#This Row],[fixme]])</f>
        <v/>
      </c>
    </row>
    <row customHeight="1" ht="17" r="38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229</v>
      </c>
      <c r="E38" s="12" t="inlineStr">
        <is>
          <t>barnehage</t>
        </is>
      </c>
      <c r="F38" t="n">
        <v>110</v>
      </c>
      <c r="G38" s="12" t="n">
        <v>251</v>
      </c>
      <c r="H38" s="12" t="inlineStr">
        <is>
          <t>Barnehage</t>
        </is>
      </c>
      <c r="I38" s="2" t="inlineStr">
        <is>
          <t>Offentlig og privat barnehage.</t>
        </is>
      </c>
      <c r="J38" s="12" t="inlineStr">
        <is>
          <t>Offentlig og privat barnehage</t>
        </is>
      </c>
      <c r="K38" s="1" t="inlineStr">
        <is>
          <t>"min_age = 1", 4
"operator:type = public", 4
"capacity = 59", 2
"no-barnehage:nsrid = 1016062", 2
"no-barnehage:nsrid = 1025321", 2
"barrier = fence", 2
"amenity = kindergarten", 6
"max_age = 5", 4
"capacity = 56", 2</t>
        </is>
      </c>
      <c r="L38" s="5" t="inlineStr">
        <is>
          <t>amenity=kindergarten</t>
        </is>
      </c>
      <c r="O38" s="5">
        <f>CONCATENATE(Tabell1[[#This Row],[OSM tag]],";",Tabell1[[#This Row],[tillegg]],";",Tabell1[[#This Row],[fixme]])</f>
        <v/>
      </c>
    </row>
    <row customHeight="1" ht="34" r="39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237</v>
      </c>
      <c r="E39" s="12" t="inlineStr">
        <is>
          <t>rådhus</t>
        </is>
      </c>
      <c r="F39" t="n">
        <v>81</v>
      </c>
      <c r="G39" s="12" t="n">
        <v>65</v>
      </c>
      <c r="H39" s="12" t="inlineStr">
        <is>
          <t>Rådhus (kommune, fylke, stat)</t>
        </is>
      </c>
      <c r="I39" s="3" t="inlineStr">
        <is>
          <t>Administrasjonssenteret i den administrative enheten, f.eks. stat, fylke, kommune.</t>
        </is>
      </c>
      <c r="J39" s="12" t="inlineStr">
        <is>
          <t>Administrasjonssenteret (-huset) i den administrative enheten</t>
        </is>
      </c>
      <c r="K39" s="1" t="inlineStr">
        <is>
          <t>"government = administrative", 2
"building = yes", 2
"opening_hours = Mo-Fr 08:00-15:45", 2
"place = locality", 2
"amenity = townhall", 12
"wheelchair = yes", 3
"office = government", 2
"building = civic", 2</t>
        </is>
      </c>
      <c r="L39" s="5" t="inlineStr">
        <is>
          <t>amenity=townhall</t>
        </is>
      </c>
      <c r="O39" s="5">
        <f>CONCATENATE(Tabell1[[#This Row],[OSM tag]],";",Tabell1[[#This Row],[tillegg]],";",Tabell1[[#This Row],[fixme]])</f>
        <v/>
      </c>
    </row>
    <row customHeight="1" ht="17" r="40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248</v>
      </c>
      <c r="E40" s="7" t="inlineStr">
        <is>
          <t>universitetHøgskole</t>
        </is>
      </c>
      <c r="F40" t="n">
        <v>46</v>
      </c>
      <c r="G40" s="12" t="n">
        <v>28</v>
      </c>
      <c r="H40" s="12" t="inlineStr">
        <is>
          <t>Universitet/høgskole</t>
        </is>
      </c>
      <c r="I40" s="2" t="inlineStr">
        <is>
          <t>Offentlig og privat høgskole og universitet.</t>
        </is>
      </c>
      <c r="J40" s="12" t="inlineStr">
        <is>
          <t>Offentlig og privat høgskole og universitet</t>
        </is>
      </c>
      <c r="K40" s="1" t="inlineStr">
        <is>
          <t>"amenity = school", 3
"amenity = university", 4</t>
        </is>
      </c>
      <c r="L40" s="5" t="inlineStr">
        <is>
          <t>amenity=university</t>
        </is>
      </c>
      <c r="O40" s="5">
        <f>CONCATENATE(Tabell1[[#This Row],[OSM tag]],";",Tabell1[[#This Row],[tillegg]],";",Tabell1[[#This Row],[fixme]])</f>
        <v/>
      </c>
    </row>
    <row customHeight="1" ht="17" r="4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250</v>
      </c>
      <c r="E41" s="7" t="inlineStr">
        <is>
          <t>fengsel</t>
        </is>
      </c>
      <c r="F41" t="n">
        <v>14</v>
      </c>
      <c r="G41" s="12" t="n">
        <v>14</v>
      </c>
      <c r="H41" s="12" t="inlineStr">
        <is>
          <t>Fengsel</t>
        </is>
      </c>
      <c r="I41" s="2" t="inlineStr">
        <is>
          <t>Bygning der arresterte eller dømte personer soner straff.</t>
        </is>
      </c>
      <c r="J41" s="12" t="inlineStr">
        <is>
          <t>Fengsel, arbeidskoloni</t>
        </is>
      </c>
      <c r="K41" s="1" t="inlineStr"/>
      <c r="L41" s="5" t="inlineStr">
        <is>
          <t>amenity=prison</t>
        </is>
      </c>
      <c r="M41" s="12" t="n"/>
      <c r="O41" s="5">
        <f>CONCATENATE(Tabell1[[#This Row],[OSM tag]],";",Tabell1[[#This Row],[tillegg]],";",Tabell1[[#This Row],[fixme]])</f>
        <v/>
      </c>
    </row>
    <row customHeight="1" ht="34" r="42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309</v>
      </c>
      <c r="E42" s="7" t="inlineStr">
        <is>
          <t>forskningsstasjon</t>
        </is>
      </c>
      <c r="G42" s="12" t="n">
        <v>1</v>
      </c>
      <c r="H42" s="12" t="inlineStr">
        <is>
          <t>Forskningsstasjon</t>
        </is>
      </c>
      <c r="I42" s="2" t="inlineStr">
        <is>
          <t>Bemannet forskningsstasjon eller meteorologisk stasjon med bygningsmasse.</t>
        </is>
      </c>
      <c r="J42" s="12" t="inlineStr">
        <is>
          <t>Meteorologisk stasjon eller forskningsstasjon med bygningsmasse i polare områder som Jan Mayen, Hopen, Zeppelin eller Hornsund.</t>
        </is>
      </c>
      <c r="K42" s="5" t="n"/>
      <c r="L42" s="5" t="inlineStr">
        <is>
          <t>building=yes</t>
        </is>
      </c>
      <c r="O42" s="5">
        <f>CONCATENATE(Tabell1[[#This Row],[OSM tag]],";",Tabell1[[#This Row],[tillegg]],";",Tabell1[[#This Row],[fixme]])</f>
        <v/>
      </c>
    </row>
    <row customHeight="1" ht="17" r="43">
      <c r="A43" s="12" t="n">
        <v>5</v>
      </c>
      <c r="B43" s="12" t="inlineStr">
        <is>
          <t>bebyggelse</t>
        </is>
      </c>
      <c r="C43" s="12" t="inlineStr">
        <is>
          <t>næring</t>
        </is>
      </c>
      <c r="D43" s="12" t="n">
        <v>113</v>
      </c>
      <c r="E43" s="7" t="inlineStr">
        <is>
          <t>fabrikk</t>
        </is>
      </c>
      <c r="F43" t="n">
        <v>427</v>
      </c>
      <c r="G43" s="12" t="n">
        <v>367</v>
      </c>
      <c r="H43" s="12" t="inlineStr">
        <is>
          <t>Fabrikk</t>
        </is>
      </c>
      <c r="I43" s="2" t="inlineStr">
        <is>
          <t>Større industrivirksomhet.</t>
        </is>
      </c>
      <c r="J43" s="12" t="inlineStr">
        <is>
          <t>Større industrivirksomhet</t>
        </is>
      </c>
      <c r="K43" s="1" t="inlineStr">
        <is>
          <t>"place = neighbourhood", 10
"type = multipolygon", 2
"industrial = brewery", 2
"place = locality", 21
"landuse = industrial", 18
"email = kundesenter@hansaborg.no", 2
"industrial = shipyard", 2
"industrial = factory", 56
"building = industrial", 44</t>
        </is>
      </c>
      <c r="L43" s="5" t="inlineStr">
        <is>
          <t>building=industrial; industrial=factory</t>
        </is>
      </c>
      <c r="O43" s="5">
        <f>CONCATENATE(Tabell1[[#This Row],[OSM tag]],";",Tabell1[[#This Row],[tillegg]],";",Tabell1[[#This Row],[fixme]])</f>
        <v/>
      </c>
    </row>
    <row customHeight="1" ht="17" r="44">
      <c r="A44" s="12" t="n">
        <v>5</v>
      </c>
      <c r="B44" s="12" t="inlineStr">
        <is>
          <t>bebyggelse</t>
        </is>
      </c>
      <c r="C44" s="12" t="inlineStr">
        <is>
          <t>næring</t>
        </is>
      </c>
      <c r="D44" s="12" t="n">
        <v>115</v>
      </c>
      <c r="E44" s="12" t="inlineStr">
        <is>
          <t>annenIndustri-OgLagerbygning</t>
        </is>
      </c>
      <c r="F44" t="n">
        <v>344</v>
      </c>
      <c r="G44" s="12" t="n">
        <v>271</v>
      </c>
      <c r="H44" s="12" t="inlineStr">
        <is>
          <t>Annen industri- og  lagerbygning</t>
        </is>
      </c>
      <c r="I44" s="2" t="inlineStr">
        <is>
          <t>Mindre industri- og produksjonsbedrift eller lager.</t>
        </is>
      </c>
      <c r="J44" s="12" t="inlineStr">
        <is>
          <t>Mindre industri-, produksjon- og lagervirksomhet</t>
        </is>
      </c>
      <c r="K44" s="1" t="inlineStr">
        <is>
          <t>"place = neighbourhood", 4
"building = yes", 2
"place = locality", 16
"building = industrial", 58</t>
        </is>
      </c>
      <c r="L44" s="5" t="inlineStr">
        <is>
          <t>building=industrial</t>
        </is>
      </c>
      <c r="O44" s="5">
        <f>CONCATENATE(Tabell1[[#This Row],[OSM tag]],";",Tabell1[[#This Row],[tillegg]],";",Tabell1[[#This Row],[fixme]])</f>
        <v/>
      </c>
    </row>
    <row customHeight="1" ht="17" r="45">
      <c r="A45" s="12" t="n">
        <v>5</v>
      </c>
      <c r="B45" s="12" t="inlineStr">
        <is>
          <t>bebyggelse</t>
        </is>
      </c>
      <c r="C45" s="12" t="inlineStr">
        <is>
          <t>næring</t>
        </is>
      </c>
      <c r="D45" s="12" t="n">
        <v>116</v>
      </c>
      <c r="E45" s="12" t="inlineStr">
        <is>
          <t>forretningsbygg</t>
        </is>
      </c>
      <c r="F45" t="n">
        <v>265</v>
      </c>
      <c r="G45" s="12" t="n">
        <v>198</v>
      </c>
      <c r="H45" s="12" t="inlineStr">
        <is>
          <t>Forretningsbygg</t>
        </is>
      </c>
      <c r="I45" s="2" t="inlineStr">
        <is>
          <t>Bygning for kontor-, salg- og servicevirksomhet.</t>
        </is>
      </c>
      <c r="J45" s="12" t="inlineStr">
        <is>
          <t>Hus for kontor- og servicevirksomhet</t>
        </is>
      </c>
      <c r="K45" s="1" t="inlineStr">
        <is>
          <t>"amenity = cafe", 4
"place = neighbourhood", 4
"building = yes", 2
"place = locality", 6
"place = isolated_dwelling", 2
"place = farm", 2
"place = quarter", 3
"building = commercial", 21
"building = civic", 2</t>
        </is>
      </c>
      <c r="L45" s="5" t="inlineStr">
        <is>
          <t>building=commercial</t>
        </is>
      </c>
      <c r="O45" s="5">
        <f>CONCATENATE(Tabell1[[#This Row],[OSM tag]],";",Tabell1[[#This Row],[tillegg]],";",Tabell1[[#This Row],[fixme]])</f>
        <v/>
      </c>
    </row>
    <row customHeight="1" ht="17" r="46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117</v>
      </c>
      <c r="E46" s="12" t="inlineStr">
        <is>
          <t>hotell</t>
        </is>
      </c>
      <c r="F46" t="n">
        <v>291</v>
      </c>
      <c r="G46" s="12" t="n">
        <v>302</v>
      </c>
      <c r="H46" s="12" t="inlineStr">
        <is>
          <t>Hotell</t>
        </is>
      </c>
      <c r="I46" s="2" t="inlineStr">
        <is>
          <t>Større, offentlig godkjent overnattingssted.</t>
        </is>
      </c>
      <c r="J46" s="12" t="inlineStr">
        <is>
          <t>Større offentlig godkjent overnattingssted</t>
        </is>
      </c>
      <c r="K46" s="1" t="inlineStr">
        <is>
          <t>"tourism = chalet", 2
"building = yes", 3
"building = hotel", 15
"place = locality", 11
"tourism = apartment", 2
"tourism = hotel", 16</t>
        </is>
      </c>
      <c r="L46" s="5" t="inlineStr">
        <is>
          <t>tourism=hotel</t>
        </is>
      </c>
      <c r="O46" s="5">
        <f>CONCATENATE(Tabell1[[#This Row],[OSM tag]],";",Tabell1[[#This Row],[tillegg]],";",Tabell1[[#This Row],[fixme]])</f>
        <v/>
      </c>
    </row>
    <row customHeight="1" ht="17" r="47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118</v>
      </c>
      <c r="E47" s="7" t="inlineStr">
        <is>
          <t>pensjonat</t>
        </is>
      </c>
      <c r="F47" t="n">
        <v>112</v>
      </c>
      <c r="G47" s="12" t="n">
        <v>99</v>
      </c>
      <c r="H47" s="12" t="inlineStr">
        <is>
          <t>Pensjonat</t>
        </is>
      </c>
      <c r="I47" s="2" t="inlineStr">
        <is>
          <t>Mindre, offentlig godkjent overnattingssted.</t>
        </is>
      </c>
      <c r="J47" s="12" t="inlineStr">
        <is>
          <t>Mindre offentlig godkjent overnattingssted</t>
        </is>
      </c>
      <c r="K47" s="1" t="inlineStr">
        <is>
          <t>"place = hamlet", 2
"building = yes", 4
"building = hotel", 3
"place = locality", 7
"tourism = guest_house", 7</t>
        </is>
      </c>
      <c r="L47" s="5" t="inlineStr">
        <is>
          <t>tourism=guest_house</t>
        </is>
      </c>
      <c r="O47" s="5">
        <f>CONCATENATE(Tabell1[[#This Row],[OSM tag]],";",Tabell1[[#This Row],[tillegg]],";",Tabell1[[#This Row],[fixme]])</f>
        <v/>
      </c>
    </row>
    <row customHeight="1" ht="34" r="48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119</v>
      </c>
      <c r="E48" s="7" t="inlineStr">
        <is>
          <t>turisthytte</t>
        </is>
      </c>
      <c r="F48" t="n">
        <v>972</v>
      </c>
      <c r="G48" s="12" t="n">
        <v>784</v>
      </c>
      <c r="H48" s="12" t="inlineStr">
        <is>
          <t>Turisthytte</t>
        </is>
      </c>
      <c r="I48" s="2" t="inlineStr">
        <is>
          <t>Overnattingssted utenfor tettbygd område.</t>
        </is>
      </c>
      <c r="J48" s="12" t="inlineStr">
        <is>
          <t>Overnattingssted utenfor tettbygd område</t>
        </is>
      </c>
      <c r="K48" s="1" t="inlineStr">
        <is>
          <t>"building = house", 2
"dnt:lock = yes", 15
"building = yes", 6
"capacity = 4", 2
"fee = yes", 4
"historic = shieling", 6
"tourism = alpine_hut", 4
"dog = no", 2
"tourism = chalet", 50
"capacity = 24", 2
"ski = yes", 2
"dnt:iid = 2019", 2
"dnt:iid = 251", 2
"place = locality", 10
"dnt:iid = 417", 2
"dnt:iid = 416", 2
"access = permit", 2
"dnt:iid = 345", 2
"network = Den norske Turistforening", 2
"amenity = cafe", 11
"capacity = 6", 3
"dnt:classification = ubetjent", 11
"dnt:classification = servering", 5
"capacity = 8", 2
"building = cabin", 10
"note:no = kystledhytte", 2
"shelter_type = basic_hut", 3
"tourism = wilderness_hut", 11
"capacity = 32", 2
"capacity = 11", 2
"dnt:iid = 1489", 2
"network = Den Norske Turistforening", 10
"hiking = yes", 5
"amenity = shelter", 3</t>
        </is>
      </c>
      <c r="L48" s="5" t="inlineStr">
        <is>
          <t>tourism=wilderness_hut</t>
        </is>
      </c>
      <c r="N48" s="5" t="inlineStr">
        <is>
          <t>fixme=consider tourism=alpine_hut or tourism=chalet</t>
        </is>
      </c>
      <c r="O48" s="5">
        <f>CONCATENATE(Tabell1[[#This Row],[OSM tag]],";",Tabell1[[#This Row],[tillegg]],";",Tabell1[[#This Row],[fixme]])</f>
        <v/>
      </c>
    </row>
    <row customHeight="1" ht="17" r="49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191</v>
      </c>
      <c r="E49" s="12" t="inlineStr">
        <is>
          <t>campingplass</t>
        </is>
      </c>
      <c r="F49" t="n">
        <v>187</v>
      </c>
      <c r="G49" s="12" t="n">
        <v>152</v>
      </c>
      <c r="H49" s="12" t="inlineStr">
        <is>
          <t>Campingplass</t>
        </is>
      </c>
      <c r="I49" s="2" t="inlineStr">
        <is>
          <t>Alle typer, med/uten campinghytter, campingvogner og telt.</t>
        </is>
      </c>
      <c r="J49" s="12" t="inlineStr">
        <is>
          <t>Alle typer, med/uten campinghytter, campingvogner og telt</t>
        </is>
      </c>
      <c r="K49" s="1" t="inlineStr">
        <is>
          <t>"caravans = yes", 2
"tents = yes", 2
"dryer = yes", 2
"email = roligheden@roligheden.no", 2
"power_supply:voltage = 230", 2
"barrier = fence", 2
"tourism = camp_site", 16
"washing_machine = yes", 2
"stars = 4", 2
"power_supply = cee_7_3", 2
"internet_access = wlan", 2</t>
        </is>
      </c>
      <c r="L49" s="5" t="inlineStr">
        <is>
          <t>tourism=camp_site</t>
        </is>
      </c>
      <c r="O49" s="5">
        <f>CONCATENATE(Tabell1[[#This Row],[OSM tag]],";",Tabell1[[#This Row],[tillegg]],";",Tabell1[[#This Row],[fixme]])</f>
        <v/>
      </c>
    </row>
    <row customHeight="1" ht="34" r="50">
      <c r="A50" s="12" t="n">
        <v>8</v>
      </c>
      <c r="B50" s="12" t="inlineStr">
        <is>
          <t>bebyggelse</t>
        </is>
      </c>
      <c r="C50" s="12" t="inlineStr">
        <is>
          <t>næring</t>
        </is>
      </c>
      <c r="D50" s="12" t="n">
        <v>205</v>
      </c>
      <c r="E50" s="12" t="inlineStr">
        <is>
          <t>oppdrettsanlegg</t>
        </is>
      </c>
      <c r="F50" t="n">
        <v>7</v>
      </c>
      <c r="G50" s="12" t="n">
        <v>4</v>
      </c>
      <c r="H50" s="12" t="inlineStr">
        <is>
          <t>Fiskeoppdrettsanlegg</t>
        </is>
      </c>
      <c r="I50" s="2" t="inlineStr">
        <is>
          <t>Anlegg for foring og stell av husdyr til de kan settes i produksjon eller slaktes; oppforing av fisk (og andre sjødyr) i fangenskap.</t>
        </is>
      </c>
      <c r="J50" s="12" t="inlineStr">
        <is>
          <t>På land, i sjø og i ferskvann</t>
        </is>
      </c>
      <c r="K50" s="1" t="inlineStr">
        <is>
          <t>"landuse = industrial", 2</t>
        </is>
      </c>
      <c r="L50" s="5" t="inlineStr">
        <is>
          <t>landuse=aquaculture</t>
        </is>
      </c>
      <c r="O50" s="5">
        <f>CONCATENATE(Tabell1[[#This Row],[OSM tag]],";",Tabell1[[#This Row],[tillegg]],";",Tabell1[[#This Row],[fixme]])</f>
        <v/>
      </c>
    </row>
    <row customHeight="1" ht="17" r="5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267</v>
      </c>
      <c r="E51" s="12" t="inlineStr">
        <is>
          <t>serveringssted</t>
        </is>
      </c>
      <c r="F51" t="n">
        <v>64</v>
      </c>
      <c r="G51" s="12" t="n">
        <v>29</v>
      </c>
      <c r="H51" s="12" t="inlineStr">
        <is>
          <t>Serveringssted</t>
        </is>
      </c>
      <c r="I51" s="2" t="inlineStr">
        <is>
          <t>Serveringssted uten overnatting.</t>
        </is>
      </c>
      <c r="J51" s="12" t="inlineStr">
        <is>
          <t>Serveringssted utenfor tettbygd område</t>
        </is>
      </c>
      <c r="K51" s="1" t="inlineStr">
        <is>
          <t>"amenity = cafe", 4
"building = yes", 2</t>
        </is>
      </c>
      <c r="L51" s="5" t="inlineStr">
        <is>
          <t>amenity=cafe</t>
        </is>
      </c>
      <c r="O51" s="5">
        <f>CONCATENATE(Tabell1[[#This Row],[OSM tag]],";",Tabell1[[#This Row],[tillegg]],";",Tabell1[[#This Row],[fixme]])</f>
        <v/>
      </c>
    </row>
    <row customHeight="1" ht="17" r="52">
      <c r="A52" s="12" t="n">
        <v>2</v>
      </c>
      <c r="B52" s="12" t="inlineStr">
        <is>
          <t>ferskvann</t>
        </is>
      </c>
      <c r="C52" s="12" t="inlineStr">
        <is>
          <t>detaljerIFerskvann</t>
        </is>
      </c>
      <c r="D52" s="12" t="n">
        <v>56</v>
      </c>
      <c r="E52" s="12" t="inlineStr">
        <is>
          <t>annenVanndetalj</t>
        </is>
      </c>
      <c r="F52" t="n">
        <v>543</v>
      </c>
      <c r="G52" s="12" t="n">
        <v>463</v>
      </c>
      <c r="H52" s="12" t="inlineStr">
        <is>
          <t>Vanndetalj</t>
        </is>
      </c>
      <c r="I52" s="2" t="inlineStr">
        <is>
          <t>Andre navngitte forhold i ferskvann.</t>
        </is>
      </c>
      <c r="J52" s="12" t="inlineStr">
        <is>
          <t>Alle typer. Skriv forklaring i merknadsfeltet.</t>
        </is>
      </c>
      <c r="K52" s="1" t="inlineStr">
        <is>
          <t>"place = locality", 5</t>
        </is>
      </c>
      <c r="M52" s="12" t="inlineStr">
        <is>
          <t>place=locality</t>
        </is>
      </c>
      <c r="O52" s="5">
        <f>CONCATENATE(Tabell1[[#This Row],[OSM tag]],";",Tabell1[[#This Row],[tillegg]],";",Tabell1[[#This Row],[fixme]])</f>
        <v/>
      </c>
    </row>
    <row customHeight="1" ht="17" r="53">
      <c r="A53" s="12" t="n">
        <v>2</v>
      </c>
      <c r="B53" s="12" t="inlineStr">
        <is>
          <t>ferskvann</t>
        </is>
      </c>
      <c r="C53" s="12" t="inlineStr">
        <is>
          <t>ferskvannskontur</t>
        </is>
      </c>
      <c r="D53" s="12" t="n">
        <v>34</v>
      </c>
      <c r="E53" s="12" t="inlineStr">
        <is>
          <t>sund</t>
        </is>
      </c>
      <c r="F53" t="n">
        <v>1053</v>
      </c>
      <c r="G53" s="12" t="n">
        <v>1042</v>
      </c>
      <c r="H53" s="12" t="inlineStr">
        <is>
          <t>Sund</t>
        </is>
      </c>
      <c r="I53" s="2" t="inlineStr">
        <is>
          <t>Innsnevret område i vann eller vassdrag.</t>
        </is>
      </c>
      <c r="J53" s="12" t="inlineStr">
        <is>
          <t>Innsnevret område i vann eller vassdrag</t>
        </is>
      </c>
      <c r="K53" s="1" t="inlineStr">
        <is>
          <t>"place = locality", 2
"natural = strait", 11</t>
        </is>
      </c>
      <c r="L53" s="5" t="inlineStr">
        <is>
          <t>natural=strait</t>
        </is>
      </c>
      <c r="O53" s="5">
        <f>CONCATENATE(Tabell1[[#This Row],[OSM tag]],";",Tabell1[[#This Row],[tillegg]],";",Tabell1[[#This Row],[fixme]])</f>
        <v/>
      </c>
    </row>
    <row customHeight="1" ht="17" r="54">
      <c r="A54" s="12" t="n">
        <v>2</v>
      </c>
      <c r="B54" s="12" t="inlineStr">
        <is>
          <t>ferskvann</t>
        </is>
      </c>
      <c r="C54" s="12" t="inlineStr">
        <is>
          <t>ferskvannskontur</t>
        </is>
      </c>
      <c r="D54" s="12" t="n">
        <v>35</v>
      </c>
      <c r="E54" s="7" t="inlineStr">
        <is>
          <t>vik</t>
        </is>
      </c>
      <c r="F54" t="n">
        <v>7334</v>
      </c>
      <c r="G54" s="12" t="n">
        <v>7211</v>
      </c>
      <c r="H54" s="12" t="inlineStr">
        <is>
          <t>Vik</t>
        </is>
      </c>
      <c r="I54" s="2" t="inlineStr">
        <is>
          <t>Kil eller bukt i vann eller vassdrag.</t>
        </is>
      </c>
      <c r="J54" s="12" t="inlineStr">
        <is>
          <t>Kil, bukt i vann eller vassdrag</t>
        </is>
      </c>
      <c r="K54" s="1" t="inlineStr">
        <is>
          <t>"natural = bay", 140
"natural = water", 6</t>
        </is>
      </c>
      <c r="L54" s="5" t="inlineStr">
        <is>
          <t>natural=bay</t>
        </is>
      </c>
      <c r="O54" s="5">
        <f>CONCATENATE(Tabell1[[#This Row],[OSM tag]],";",Tabell1[[#This Row],[tillegg]],";",Tabell1[[#This Row],[fixme]])</f>
        <v/>
      </c>
    </row>
    <row customHeight="1" ht="17" r="55">
      <c r="A55" s="12" t="n">
        <v>2</v>
      </c>
      <c r="B55" s="12" t="inlineStr">
        <is>
          <t>ferskvann</t>
        </is>
      </c>
      <c r="C55" s="12" t="inlineStr">
        <is>
          <t>ferskvannskontur</t>
        </is>
      </c>
      <c r="D55" s="12" t="n">
        <v>44</v>
      </c>
      <c r="E55" s="7" t="inlineStr">
        <is>
          <t>øy</t>
        </is>
      </c>
      <c r="F55" t="n">
        <v>1287</v>
      </c>
      <c r="G55" s="12" t="n">
        <v>1296</v>
      </c>
      <c r="H55" s="12" t="inlineStr">
        <is>
          <t>Øy</t>
        </is>
      </c>
      <c r="I55" s="2" t="inlineStr">
        <is>
          <t>Tørt landområde i ferskvann atskilt fra fastlandet.</t>
        </is>
      </c>
      <c r="J55" s="12" t="inlineStr">
        <is>
          <t>Tørt landområde i ferskvann atskilt fra fastlandet</t>
        </is>
      </c>
      <c r="K55" s="1" t="inlineStr">
        <is>
          <t>"place = locality", 2
"natural = shoal", 2
"place = island", 3
"place = islet", 5</t>
        </is>
      </c>
      <c r="L55" s="5" t="inlineStr">
        <is>
          <t>place=island</t>
        </is>
      </c>
      <c r="O55" s="5">
        <f>CONCATENATE(Tabell1[[#This Row],[OSM tag]],";",Tabell1[[#This Row],[tillegg]],";",Tabell1[[#This Row],[fixme]])</f>
        <v/>
      </c>
    </row>
    <row customHeight="1" ht="17" r="56">
      <c r="A56" s="12" t="n">
        <v>2</v>
      </c>
      <c r="B56" s="12" t="inlineStr">
        <is>
          <t>ferskvann</t>
        </is>
      </c>
      <c r="C56" s="12" t="inlineStr">
        <is>
          <t>ferskvannskontur</t>
        </is>
      </c>
      <c r="D56" s="12" t="n">
        <v>45</v>
      </c>
      <c r="E56" s="12" t="inlineStr">
        <is>
          <t>holme</t>
        </is>
      </c>
      <c r="F56" t="n">
        <v>4255</v>
      </c>
      <c r="G56" s="12" t="n">
        <v>4298</v>
      </c>
      <c r="H56" s="12" t="inlineStr">
        <is>
          <t>Holme</t>
        </is>
      </c>
      <c r="I56" s="2" t="inlineStr">
        <is>
          <t>Liten øy i ferskvann.</t>
        </is>
      </c>
      <c r="J56" s="12" t="inlineStr">
        <is>
          <t>Liten øy i ferskvann</t>
        </is>
      </c>
      <c r="K56" s="1" t="inlineStr">
        <is>
          <t>"place = islet", 83
"natural = wood", 26
"leaf_type = needleleaved", 4</t>
        </is>
      </c>
      <c r="L56" s="5" t="inlineStr">
        <is>
          <t>place=islet</t>
        </is>
      </c>
      <c r="O56" s="5">
        <f>CONCATENATE(Tabell1[[#This Row],[OSM tag]],";",Tabell1[[#This Row],[tillegg]],";",Tabell1[[#This Row],[fixme]])</f>
        <v/>
      </c>
    </row>
    <row customHeight="1" ht="17" r="57">
      <c r="A57" s="12" t="n">
        <v>2</v>
      </c>
      <c r="B57" s="12" t="inlineStr">
        <is>
          <t>ferskvann</t>
        </is>
      </c>
      <c r="C57" s="12" t="inlineStr">
        <is>
          <t>ferskvannskontur</t>
        </is>
      </c>
      <c r="D57" s="12" t="n">
        <v>46</v>
      </c>
      <c r="E57" s="12" t="inlineStr">
        <is>
          <t>halvøy</t>
        </is>
      </c>
      <c r="F57" t="n">
        <v>272</v>
      </c>
      <c r="G57" s="12" t="n">
        <v>255</v>
      </c>
      <c r="H57" s="12" t="inlineStr">
        <is>
          <t>Halvøy</t>
        </is>
      </c>
      <c r="I57" s="2" t="inlineStr">
        <is>
          <t>Større nes i ferskvann med smalt eid mot fastland.</t>
        </is>
      </c>
      <c r="J57" s="12" t="inlineStr">
        <is>
          <t>Større nes i ferskvann med smalt eid mot fastland</t>
        </is>
      </c>
      <c r="K57" s="1" t="inlineStr">
        <is>
          <t>"natural = cape", 26</t>
        </is>
      </c>
      <c r="L57" s="2" t="inlineStr">
        <is>
          <t>natural=cape</t>
        </is>
      </c>
      <c r="O57" s="5">
        <f>CONCATENATE(Tabell1[[#This Row],[OSM tag]],";",Tabell1[[#This Row],[tillegg]],";",Tabell1[[#This Row],[fixme]])</f>
        <v/>
      </c>
    </row>
    <row customHeight="1" ht="17" r="58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47</v>
      </c>
      <c r="E58" s="12" t="inlineStr">
        <is>
          <t>nes</t>
        </is>
      </c>
      <c r="F58" t="n">
        <v>9604</v>
      </c>
      <c r="G58" s="12" t="n">
        <v>9498</v>
      </c>
      <c r="H58" s="12" t="inlineStr">
        <is>
          <t>Nes</t>
        </is>
      </c>
      <c r="I58" s="2" t="inlineStr">
        <is>
          <t>Landområde stikkende ut i ferskvann.</t>
        </is>
      </c>
      <c r="J58" s="12" t="inlineStr">
        <is>
          <t>Landområde stikkende ut i ferskvann</t>
        </is>
      </c>
      <c r="K58" s="1" t="inlineStr">
        <is>
          <t>"natural = cape", 234</t>
        </is>
      </c>
      <c r="L58" s="5" t="inlineStr">
        <is>
          <t>natural=cape</t>
        </is>
      </c>
      <c r="O58" s="5">
        <f>CONCATENATE(Tabell1[[#This Row],[OSM tag]],";",Tabell1[[#This Row],[tillegg]],";",Tabell1[[#This Row],[fixme]])</f>
        <v/>
      </c>
    </row>
    <row customHeight="1" ht="17" r="59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48</v>
      </c>
      <c r="E59" s="12" t="inlineStr">
        <is>
          <t>eid</t>
        </is>
      </c>
      <c r="F59" t="n">
        <v>417</v>
      </c>
      <c r="G59" s="12" t="n">
        <v>390</v>
      </c>
      <c r="H59" s="12" t="inlineStr">
        <is>
          <t>Eid</t>
        </is>
      </c>
      <c r="I59" s="2" t="inlineStr">
        <is>
          <t>Lavt eller smalt parti mellom to vannkanter (elv eller vann).</t>
        </is>
      </c>
      <c r="J59" s="12" t="inlineStr">
        <is>
          <t>Landstripe med vann på begge sider som binder sammen to landområder</t>
        </is>
      </c>
      <c r="K59" s="1" t="inlineStr">
        <is>
          <t>"place = locality", 5
"natural = strait", 4</t>
        </is>
      </c>
      <c r="L59" s="5" t="inlineStr">
        <is>
          <t>natural=strait</t>
        </is>
      </c>
      <c r="M59" s="5" t="n"/>
      <c r="O59" s="5">
        <f>CONCATENATE(Tabell1[[#This Row],[OSM tag]],";",Tabell1[[#This Row],[tillegg]],";",Tabell1[[#This Row],[fixme]])</f>
        <v/>
      </c>
    </row>
    <row customHeight="1" ht="34" r="60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49</v>
      </c>
      <c r="E60" s="12" t="inlineStr">
        <is>
          <t>strand</t>
        </is>
      </c>
      <c r="F60" t="n">
        <v>993</v>
      </c>
      <c r="G60" s="12" t="n">
        <v>923</v>
      </c>
      <c r="H60" s="12" t="inlineStr">
        <is>
          <t>Strand</t>
        </is>
      </c>
      <c r="I60" s="2" t="inlineStr">
        <is>
          <t>Sand-, grus- eller steindekket område i vannkanten ved elv eller vann.</t>
        </is>
      </c>
      <c r="J60" s="12" t="inlineStr">
        <is>
          <t>Sand-, grus- eller steindekket område i vannkanten</t>
        </is>
      </c>
      <c r="K60" s="1" t="inlineStr">
        <is>
          <t>"natural = beach", 4
"place = locality", 4
"type = multipolygon", 2</t>
        </is>
      </c>
      <c r="L60" s="5" t="inlineStr">
        <is>
          <t>natural=beach</t>
        </is>
      </c>
      <c r="M60" s="12" t="n"/>
      <c r="O60" s="5">
        <f>CONCATENATE(Tabell1[[#This Row],[OSM tag]],";",Tabell1[[#This Row],[tillegg]],";",Tabell1[[#This Row],[fixme]])</f>
        <v/>
      </c>
    </row>
    <row customHeight="1" ht="17" r="6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214</v>
      </c>
      <c r="E61" s="7" t="inlineStr">
        <is>
          <t>øygruppe</t>
        </is>
      </c>
      <c r="G61" s="12" t="n">
        <v>73</v>
      </c>
      <c r="H61" s="12" t="inlineStr">
        <is>
          <t>Øygruppe</t>
        </is>
      </c>
      <c r="I61" s="2" t="inlineStr">
        <is>
          <t>To eller flere øyer i ferskvann.</t>
        </is>
      </c>
      <c r="J61" s="12" t="inlineStr">
        <is>
          <t>To eller flere øyer i ferskvann</t>
        </is>
      </c>
      <c r="K61" s="5" t="n"/>
      <c r="L61" s="5" t="inlineStr">
        <is>
          <t>place=island</t>
        </is>
      </c>
      <c r="O61" s="5">
        <f>CONCATENATE(Tabell1[[#This Row],[OSM tag]],";",Tabell1[[#This Row],[tillegg]],";",Tabell1[[#This Row],[fixme]])</f>
        <v/>
      </c>
    </row>
    <row customHeight="1" ht="17" r="62">
      <c r="A62" s="12" t="n">
        <v>2</v>
      </c>
      <c r="B62" s="12" t="inlineStr">
        <is>
          <t>ferskvann</t>
        </is>
      </c>
      <c r="C62" s="12" t="inlineStr">
        <is>
          <t>grunnerIFerskvann</t>
        </is>
      </c>
      <c r="D62" s="12" t="n">
        <v>52</v>
      </c>
      <c r="E62" s="12" t="inlineStr">
        <is>
          <t>skjær</t>
        </is>
      </c>
      <c r="F62" t="n">
        <v>391</v>
      </c>
      <c r="G62" s="12" t="n">
        <v>399</v>
      </c>
      <c r="H62" s="12" t="inlineStr">
        <is>
          <t>Skjær</t>
        </is>
      </c>
      <c r="I62" s="2" t="inlineStr">
        <is>
          <t>Fjell eller stein i vannflaten.</t>
        </is>
      </c>
      <c r="J62" s="12" t="inlineStr">
        <is>
          <t>Fjell eller stein i vannflaten</t>
        </is>
      </c>
      <c r="K62" s="1" t="inlineStr">
        <is>
          <t>"natural = shoal", 2</t>
        </is>
      </c>
      <c r="L62" s="5" t="inlineStr">
        <is>
          <t>place=islet</t>
        </is>
      </c>
      <c r="O62" s="5">
        <f>CONCATENATE(Tabell1[[#This Row],[OSM tag]],";",Tabell1[[#This Row],[tillegg]],";",Tabell1[[#This Row],[fixme]])</f>
        <v/>
      </c>
    </row>
    <row customHeight="1" ht="17" r="63">
      <c r="A63" s="12" t="n">
        <v>2</v>
      </c>
      <c r="B63" s="12" t="inlineStr">
        <is>
          <t>ferskvann</t>
        </is>
      </c>
      <c r="C63" s="12" t="inlineStr">
        <is>
          <t>grunnerIFerskvann</t>
        </is>
      </c>
      <c r="D63" s="12" t="n">
        <v>53</v>
      </c>
      <c r="E63" s="12" t="inlineStr">
        <is>
          <t>båe</t>
        </is>
      </c>
      <c r="G63" s="12" t="n">
        <v>26</v>
      </c>
      <c r="H63" s="12" t="inlineStr">
        <is>
          <t>Båe</t>
        </is>
      </c>
      <c r="I63" s="2" t="inlineStr">
        <is>
          <t>Fjell eller stein under vannflaten.</t>
        </is>
      </c>
      <c r="J63" s="12" t="inlineStr">
        <is>
          <t>Fjell eller stein under vannflaten</t>
        </is>
      </c>
      <c r="K63" s="5" t="n"/>
      <c r="L63" s="2" t="inlineStr">
        <is>
          <t>seamark:type=rock</t>
        </is>
      </c>
      <c r="M63" s="12" t="inlineStr">
        <is>
          <t>place=locality</t>
        </is>
      </c>
      <c r="O63" s="5">
        <f>CONCATENATE(Tabell1[[#This Row],[OSM tag]],";",Tabell1[[#This Row],[tillegg]],";",Tabell1[[#This Row],[fixme]])</f>
        <v/>
      </c>
      <c r="P63" s="5" t="inlineStr">
        <is>
          <t>NB: Position not accurate for navigation</t>
        </is>
      </c>
    </row>
    <row customHeight="1" ht="17" r="64">
      <c r="A64" s="12" t="n">
        <v>2</v>
      </c>
      <c r="B64" s="12" t="inlineStr">
        <is>
          <t>ferskvann</t>
        </is>
      </c>
      <c r="C64" s="12" t="inlineStr">
        <is>
          <t>grunnerIFerskvann</t>
        </is>
      </c>
      <c r="D64" s="12" t="n">
        <v>54</v>
      </c>
      <c r="E64" s="12" t="inlineStr">
        <is>
          <t>grunne</t>
        </is>
      </c>
      <c r="F64" t="n">
        <v>220</v>
      </c>
      <c r="G64" s="12" t="n">
        <v>199</v>
      </c>
      <c r="H64" s="12" t="inlineStr">
        <is>
          <t>Grunne</t>
        </is>
      </c>
      <c r="I64" s="2" t="inlineStr">
        <is>
          <t>Lite område under vann som hever seg fra området rundt.</t>
        </is>
      </c>
      <c r="J64" s="12" t="inlineStr">
        <is>
          <t>Lite område under vann</t>
        </is>
      </c>
      <c r="K64" s="1" t="inlineStr">
        <is>
          <t>"place = islet", 2
"seamark:type = rock", 2</t>
        </is>
      </c>
      <c r="L64" s="5" t="inlineStr">
        <is>
          <t>natural=shoal</t>
        </is>
      </c>
      <c r="M64" s="12" t="inlineStr">
        <is>
          <t>place=locality</t>
        </is>
      </c>
      <c r="O64" s="5">
        <f>CONCATENATE(Tabell1[[#This Row],[OSM tag]],";",Tabell1[[#This Row],[tillegg]],";",Tabell1[[#This Row],[fixme]])</f>
        <v/>
      </c>
    </row>
    <row customHeight="1" ht="17" r="65">
      <c r="A65" s="12" t="n">
        <v>2</v>
      </c>
      <c r="B65" s="12" t="inlineStr">
        <is>
          <t>ferskvann</t>
        </is>
      </c>
      <c r="C65" s="12" t="inlineStr">
        <is>
          <t>grunnerIFerskvann</t>
        </is>
      </c>
      <c r="D65" s="12" t="n">
        <v>55</v>
      </c>
      <c r="E65" s="12" t="inlineStr">
        <is>
          <t>banke</t>
        </is>
      </c>
      <c r="G65" s="12" t="n">
        <v>32</v>
      </c>
      <c r="H65" s="12" t="inlineStr">
        <is>
          <t>Banke</t>
        </is>
      </c>
      <c r="I65" s="2" t="inlineStr">
        <is>
          <t>Flatt, større undervannsområde.</t>
        </is>
      </c>
      <c r="J65" s="12" t="inlineStr">
        <is>
          <t>Flatt, større undervannsområde</t>
        </is>
      </c>
      <c r="K65" s="5" t="n"/>
      <c r="L65" s="5" t="inlineStr">
        <is>
          <t>natural=shoal</t>
        </is>
      </c>
      <c r="M65" s="12" t="inlineStr">
        <is>
          <t>place=locality</t>
        </is>
      </c>
      <c r="O65" s="5">
        <f>CONCATENATE(Tabell1[[#This Row],[OSM tag]],";",Tabell1[[#This Row],[tillegg]],";",Tabell1[[#This Row],[fixme]])</f>
        <v/>
      </c>
    </row>
    <row customHeight="1" ht="17" r="66">
      <c r="A66" s="12" t="n">
        <v>2</v>
      </c>
      <c r="B66" s="12" t="inlineStr">
        <is>
          <t>ferskvann</t>
        </is>
      </c>
      <c r="C66" s="12" t="inlineStr">
        <is>
          <t>rennendeVann</t>
        </is>
      </c>
      <c r="D66" s="12" t="n">
        <v>36</v>
      </c>
      <c r="E66" s="12" t="inlineStr">
        <is>
          <t>elv</t>
        </is>
      </c>
      <c r="F66" t="n">
        <v>9658</v>
      </c>
      <c r="G66" s="12" t="n">
        <v>10146</v>
      </c>
      <c r="H66" s="12" t="inlineStr">
        <is>
          <t>Elv</t>
        </is>
      </c>
      <c r="I66" s="2" t="inlineStr">
        <is>
          <t>Rennende vann i naturlig vannvei, vanligvis bredere enn 3 meter.</t>
        </is>
      </c>
      <c r="J66" s="12" t="inlineStr">
        <is>
          <t>Rennende vann i naturlig vannvei, vanligvis bredere enn 3 meter</t>
        </is>
      </c>
      <c r="K66" s="1" t="inlineStr">
        <is>
          <t>"width = 2", 10
"width = 3", 6
"waterway = river", 138
"waterway = stream", 18</t>
        </is>
      </c>
      <c r="L66" s="5" t="inlineStr">
        <is>
          <t>waterway=river</t>
        </is>
      </c>
      <c r="O66" s="5">
        <f>CONCATENATE(Tabell1[[#This Row],[OSM tag]],";",Tabell1[[#This Row],[tillegg]],";",Tabell1[[#This Row],[fixme]])</f>
        <v/>
      </c>
    </row>
    <row customHeight="1" ht="17" r="67">
      <c r="A67" s="12" t="n">
        <v>2</v>
      </c>
      <c r="B67" s="12" t="inlineStr">
        <is>
          <t>ferskvann</t>
        </is>
      </c>
      <c r="C67" s="12" t="inlineStr">
        <is>
          <t>rennendeVann</t>
        </is>
      </c>
      <c r="D67" s="12" t="n">
        <v>37</v>
      </c>
      <c r="E67" s="12" t="inlineStr">
        <is>
          <t>bekk</t>
        </is>
      </c>
      <c r="F67" t="n">
        <v>43901</v>
      </c>
      <c r="G67" s="12" t="n">
        <v>44547</v>
      </c>
      <c r="H67" s="12" t="inlineStr">
        <is>
          <t>Bekk</t>
        </is>
      </c>
      <c r="I67" s="2" t="inlineStr">
        <is>
          <t>Rennende vann i naturlig vannvei, vanligvis smalere enn 3 meter.</t>
        </is>
      </c>
      <c r="J67" s="12" t="inlineStr">
        <is>
          <t>Rennende vann i naturlig vannvei, vanligvis smalere enn 3 meter</t>
        </is>
      </c>
      <c r="K67" s="1" t="inlineStr">
        <is>
          <t>"tunnel = culvert", 16
"layer = -1", 28
"width = 2", 53
"width = 3", 23
"waterway = river", 59
"waterway = stream", 247</t>
        </is>
      </c>
      <c r="L67" s="5" t="inlineStr">
        <is>
          <t>waterway=stream</t>
        </is>
      </c>
      <c r="O67" s="5">
        <f>CONCATENATE(Tabell1[[#This Row],[OSM tag]],";",Tabell1[[#This Row],[tillegg]],";",Tabell1[[#This Row],[fixme]])</f>
        <v/>
      </c>
    </row>
    <row customHeight="1" ht="17" r="68">
      <c r="A68" s="12" t="n">
        <v>2</v>
      </c>
      <c r="B68" s="12" t="inlineStr">
        <is>
          <t>ferskvann</t>
        </is>
      </c>
      <c r="C68" s="12" t="inlineStr">
        <is>
          <t>rennendeVann</t>
        </is>
      </c>
      <c r="D68" s="12" t="n">
        <v>38</v>
      </c>
      <c r="E68" s="12" t="inlineStr">
        <is>
          <t>grøft</t>
        </is>
      </c>
      <c r="G68" s="12" t="n">
        <v>75</v>
      </c>
      <c r="H68" s="12" t="inlineStr">
        <is>
          <t>Grøft</t>
        </is>
      </c>
      <c r="I68" s="2" t="inlineStr">
        <is>
          <t>Rennende vann i oppgravd vannvei, f.eks. dreneringsgrøft i myr.</t>
        </is>
      </c>
      <c r="J68" s="12" t="inlineStr">
        <is>
          <t>Rennende vann i oppgravd vannvei , f.eks. dreneringsgrøft i myr</t>
        </is>
      </c>
      <c r="K68" s="5" t="n"/>
      <c r="L68" s="5" t="inlineStr">
        <is>
          <t>waterway=drain</t>
        </is>
      </c>
      <c r="O68" s="5">
        <f>CONCATENATE(Tabell1[[#This Row],[OSM tag]],";",Tabell1[[#This Row],[tillegg]],";",Tabell1[[#This Row],[fixme]])</f>
        <v/>
      </c>
    </row>
    <row customHeight="1" ht="17" r="69">
      <c r="A69" s="12" t="n">
        <v>2</v>
      </c>
      <c r="B69" s="12" t="inlineStr">
        <is>
          <t>ferskvann</t>
        </is>
      </c>
      <c r="C69" s="12" t="inlineStr">
        <is>
          <t>rennendeVann</t>
        </is>
      </c>
      <c r="D69" s="12" t="n">
        <v>39</v>
      </c>
      <c r="E69" s="12" t="inlineStr">
        <is>
          <t>foss</t>
        </is>
      </c>
      <c r="F69" t="n">
        <v>3472</v>
      </c>
      <c r="G69" s="12" t="n">
        <v>3394</v>
      </c>
      <c r="H69" s="12" t="inlineStr">
        <is>
          <t>Foss</t>
        </is>
      </c>
      <c r="I69" s="2" t="inlineStr">
        <is>
          <t>Vann i tilnærmet fritt fall.</t>
        </is>
      </c>
      <c r="J69" s="12" t="inlineStr">
        <is>
          <t>Vann i tilnærmet fritt fall</t>
        </is>
      </c>
      <c r="K69" s="1" t="inlineStr">
        <is>
          <t>"waterway = waterfall", 2
"natural = waterfall", 19</t>
        </is>
      </c>
      <c r="L69" s="5" t="inlineStr">
        <is>
          <t>natural=waterfall</t>
        </is>
      </c>
      <c r="O69" s="5">
        <f>CONCATENATE(Tabell1[[#This Row],[OSM tag]],";",Tabell1[[#This Row],[tillegg]],";",Tabell1[[#This Row],[fixme]])</f>
        <v/>
      </c>
    </row>
    <row customHeight="1" ht="34" r="70">
      <c r="A70" s="12" t="n">
        <v>2</v>
      </c>
      <c r="B70" s="12" t="inlineStr">
        <is>
          <t>ferskvann</t>
        </is>
      </c>
      <c r="C70" s="12" t="inlineStr">
        <is>
          <t>rennendeVann</t>
        </is>
      </c>
      <c r="D70" s="12" t="n">
        <v>40</v>
      </c>
      <c r="E70" s="12" t="inlineStr">
        <is>
          <t>stryk</t>
        </is>
      </c>
      <c r="F70" t="n">
        <v>484</v>
      </c>
      <c r="G70" s="12" t="n">
        <v>461</v>
      </c>
      <c r="H70" s="12" t="inlineStr">
        <is>
          <t>Stryk</t>
        </is>
      </c>
      <c r="I70" s="2" t="inlineStr">
        <is>
          <t>Del av elv, bekk der vannet går i stryk (og skiller seg tydelig fra resten av elva/bekken).</t>
        </is>
      </c>
      <c r="J70" s="12" t="inlineStr">
        <is>
          <t>Del av elv, bekk der vannet går i stryk (og skiller seg tydelig fra resten av elva/bekken)</t>
        </is>
      </c>
      <c r="K70" s="1" t="inlineStr">
        <is>
          <t>"waterway = rapids", 4
"place = suburb", 2</t>
        </is>
      </c>
      <c r="L70" s="5" t="inlineStr">
        <is>
          <t>waterway=rapids</t>
        </is>
      </c>
      <c r="O70" s="5">
        <f>CONCATENATE(Tabell1[[#This Row],[OSM tag]],";",Tabell1[[#This Row],[tillegg]],";",Tabell1[[#This Row],[fixme]])</f>
        <v/>
      </c>
      <c r="P70" s="5" t="inlineStr">
        <is>
          <t>Deprecated? Still used in 47.000 places</t>
        </is>
      </c>
    </row>
    <row customHeight="1" ht="34" r="7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41</v>
      </c>
      <c r="E71" s="12" t="inlineStr">
        <is>
          <t>os</t>
        </is>
      </c>
      <c r="F71" t="n">
        <v>1004</v>
      </c>
      <c r="G71" s="12" t="n">
        <v>1004</v>
      </c>
      <c r="H71" s="12" t="inlineStr">
        <is>
          <t>Os</t>
        </is>
      </c>
      <c r="I71" s="2" t="inlineStr">
        <is>
          <t>Innløp eller utløp av elv eller bekk i innsjø/vann/tjern eller sjø (saltvann).</t>
        </is>
      </c>
      <c r="J71" s="12" t="inlineStr">
        <is>
          <t>Innløp eller utløp av elv eller bekk i innsjø/vann/tjern eller sjø (saltvann)</t>
        </is>
      </c>
      <c r="K71" s="1" t="inlineStr"/>
      <c r="L71" s="5" t="inlineStr">
        <is>
          <t>natural=bay</t>
        </is>
      </c>
      <c r="O71" s="5">
        <f>CONCATENATE(Tabell1[[#This Row],[OSM tag]],";",Tabell1[[#This Row],[tillegg]],";",Tabell1[[#This Row],[fixme]])</f>
        <v/>
      </c>
    </row>
    <row customHeight="1" ht="34" r="72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42</v>
      </c>
      <c r="E72" s="12" t="inlineStr">
        <is>
          <t>høl</t>
        </is>
      </c>
      <c r="F72" t="n">
        <v>2568</v>
      </c>
      <c r="G72" s="12" t="n">
        <v>2461</v>
      </c>
      <c r="H72" s="12" t="inlineStr">
        <is>
          <t>Høl</t>
        </is>
      </c>
      <c r="I72" s="2" t="inlineStr">
        <is>
          <t>Dyp elvebunn under foss eller etter et stryk.</t>
        </is>
      </c>
      <c r="J72" s="12" t="inlineStr">
        <is>
          <t>Dyp elvebunn under foss eller etter et stryk</t>
        </is>
      </c>
      <c r="K72" s="1" t="inlineStr">
        <is>
          <t>"water = pond", 3
"place = locality", 4
"natural = water", 10
"water = pool", 5
"type = multipolygon", 3</t>
        </is>
      </c>
      <c r="L72" s="2" t="n"/>
      <c r="M72" s="12" t="inlineStr">
        <is>
          <t>place=locality</t>
        </is>
      </c>
      <c r="O72" s="5">
        <f>CONCATENATE(Tabell1[[#This Row],[OSM tag]],";",Tabell1[[#This Row],[tillegg]],";",Tabell1[[#This Row],[fixme]])</f>
        <v/>
      </c>
      <c r="P72" s="5" t="inlineStr">
        <is>
          <t>"Høl" is mostly used for a bay in a river ("bakevje") or in a lake/sea</t>
        </is>
      </c>
    </row>
    <row customHeight="1" ht="17" r="73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43</v>
      </c>
      <c r="E73" s="12" t="inlineStr">
        <is>
          <t>lon</t>
        </is>
      </c>
      <c r="F73" t="n">
        <v>1826</v>
      </c>
      <c r="G73" s="12" t="n">
        <v>1780</v>
      </c>
      <c r="H73" s="12" t="inlineStr">
        <is>
          <t>Lon</t>
        </is>
      </c>
      <c r="I73" s="2" t="inlineStr">
        <is>
          <t>Utbuktning i elv eller bekk der vannet renner stille.</t>
        </is>
      </c>
      <c r="J73" s="12" t="inlineStr">
        <is>
          <t>Utbuktning i elv eller bekk med stille vann</t>
        </is>
      </c>
      <c r="K73" s="1" t="inlineStr">
        <is>
          <t>"natural = bay", 15
"natural = water", 17
"type = multipolygon", 14
"water = river", 7</t>
        </is>
      </c>
      <c r="L73" s="2" t="inlineStr">
        <is>
          <t>natural=water; water=lake</t>
        </is>
      </c>
      <c r="O73" s="5">
        <f>CONCATENATE(Tabell1[[#This Row],[OSM tag]],";",Tabell1[[#This Row],[tillegg]],";",Tabell1[[#This Row],[fixme]])</f>
        <v/>
      </c>
    </row>
    <row customHeight="1" ht="17" r="74">
      <c r="A74" s="12" t="n">
        <v>8</v>
      </c>
      <c r="B74" s="12" t="inlineStr">
        <is>
          <t>ferskvann</t>
        </is>
      </c>
      <c r="C74" s="12" t="inlineStr">
        <is>
          <t>rennendeVann</t>
        </is>
      </c>
      <c r="D74" s="12" t="n">
        <v>204</v>
      </c>
      <c r="E74" s="12" t="inlineStr">
        <is>
          <t>fløtningsanlegg</t>
        </is>
      </c>
      <c r="F74" t="n">
        <v>34</v>
      </c>
      <c r="G74" s="12" t="n">
        <v>15</v>
      </c>
      <c r="H74" s="12" t="inlineStr">
        <is>
          <t>Fløtningsanlegg</t>
        </is>
      </c>
      <c r="I74" s="2" t="inlineStr">
        <is>
          <t>Kunstig fløtningsanlegg.</t>
        </is>
      </c>
      <c r="J74" s="12" t="inlineStr">
        <is>
          <t>Kunstig fløtningsanlegg</t>
        </is>
      </c>
      <c r="K74" s="1" t="inlineStr">
        <is>
          <t>"place = locality", 2</t>
        </is>
      </c>
      <c r="M74" s="5" t="inlineStr">
        <is>
          <t>place=locality</t>
        </is>
      </c>
      <c r="O74" s="5">
        <f>CONCATENATE(Tabell1[[#This Row],[OSM tag]],";",Tabell1[[#This Row],[tillegg]],";",Tabell1[[#This Row],[fixme]])</f>
        <v/>
      </c>
    </row>
    <row customHeight="1" ht="17" r="75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242</v>
      </c>
      <c r="E75" s="12" t="inlineStr">
        <is>
          <t>nesVedElver</t>
        </is>
      </c>
      <c r="F75" t="n">
        <v>674</v>
      </c>
      <c r="G75" s="12" t="n">
        <v>654</v>
      </c>
      <c r="H75" s="12" t="inlineStr">
        <is>
          <t>Nes ved elver</t>
        </is>
      </c>
      <c r="I75" s="2" t="inlineStr">
        <is>
          <t>Landet mellom to møtende elver.</t>
        </is>
      </c>
      <c r="J75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75" s="1" t="inlineStr">
        <is>
          <t>"natural = cape", 12</t>
        </is>
      </c>
      <c r="L75" s="5" t="inlineStr">
        <is>
          <t>natural=cape</t>
        </is>
      </c>
      <c r="M75" s="12" t="n"/>
      <c r="O75" s="5">
        <f>CONCATENATE(Tabell1[[#This Row],[OSM tag]],";",Tabell1[[#This Row],[tillegg]],";",Tabell1[[#This Row],[fixme]])</f>
        <v/>
      </c>
    </row>
    <row customHeight="1" ht="17" r="76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243</v>
      </c>
      <c r="E76" s="12" t="inlineStr">
        <is>
          <t>kilde</t>
        </is>
      </c>
      <c r="G76" s="12" t="n">
        <v>126</v>
      </c>
      <c r="H76" s="12" t="inlineStr">
        <is>
          <t>Kilde</t>
        </is>
      </c>
      <c r="I76" s="2" t="inlineStr">
        <is>
          <t>Oppkomme, olle, kildeutspring, osv.</t>
        </is>
      </c>
      <c r="J76" s="12" t="inlineStr">
        <is>
          <t>Oppkomme, olle, ile. Benyttes for å angi stedet hvor vannkilden/grunnvannet kommer i dagen.</t>
        </is>
      </c>
      <c r="K76" s="5" t="n"/>
      <c r="L76" s="5" t="inlineStr">
        <is>
          <t>natural=spring</t>
        </is>
      </c>
      <c r="O76" s="5">
        <f>CONCATENATE(Tabell1[[#This Row],[OSM tag]],";",Tabell1[[#This Row],[tillegg]],";",Tabell1[[#This Row],[fixme]])</f>
        <v/>
      </c>
    </row>
    <row customHeight="1" ht="17" r="77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306</v>
      </c>
      <c r="E77" s="12" t="inlineStr">
        <is>
          <t>elvesving</t>
        </is>
      </c>
      <c r="G77" s="12" t="n">
        <v>9</v>
      </c>
      <c r="H77" s="12" t="inlineStr">
        <is>
          <t>Elvesving</t>
        </is>
      </c>
      <c r="I77" s="2" t="inlineStr">
        <is>
          <t>Naturlig sving i elv eller bekk.</t>
        </is>
      </c>
      <c r="J77" s="12" t="inlineStr">
        <is>
          <t>Naturlig sving (retningsskifte) i elv eller bekk</t>
        </is>
      </c>
      <c r="K77" s="5" t="n"/>
      <c r="M77" s="12" t="inlineStr">
        <is>
          <t>place=locality</t>
        </is>
      </c>
      <c r="O77" s="5">
        <f>CONCATENATE(Tabell1[[#This Row],[OSM tag]],";",Tabell1[[#This Row],[tillegg]],";",Tabell1[[#This Row],[fixme]])</f>
        <v/>
      </c>
    </row>
    <row customHeight="1" ht="17" r="78">
      <c r="A78" s="12" t="n">
        <v>2</v>
      </c>
      <c r="B78" s="12" t="inlineStr">
        <is>
          <t>ferskvann</t>
        </is>
      </c>
      <c r="C78" s="12" t="inlineStr">
        <is>
          <t>stilleståendeVann</t>
        </is>
      </c>
      <c r="D78" s="12" t="n">
        <v>30</v>
      </c>
      <c r="E78" s="12" t="inlineStr">
        <is>
          <t>innsjø</t>
        </is>
      </c>
      <c r="F78" t="n">
        <v>456</v>
      </c>
      <c r="G78" s="12" t="n">
        <v>470</v>
      </c>
      <c r="H78" s="12" t="inlineStr">
        <is>
          <t>Innsjø</t>
        </is>
      </c>
      <c r="I78" s="2" t="inlineStr">
        <is>
          <t>Stort vann.</t>
        </is>
      </c>
      <c r="J78" s="12" t="inlineStr">
        <is>
          <t>Stort vann. Eks. Altevatnet, Femunden, Mjøsa, Nisser, Byglandsfjord</t>
        </is>
      </c>
      <c r="K78" s="1" t="inlineStr">
        <is>
          <t>"natural = water", 17
"water = lake", 14
"type = multipolygon", 17</t>
        </is>
      </c>
      <c r="L78" s="5" t="inlineStr">
        <is>
          <t>natural=water; water=lake</t>
        </is>
      </c>
      <c r="O78" s="5">
        <f>CONCATENATE(Tabell1[[#This Row],[OSM tag]],";",Tabell1[[#This Row],[tillegg]],";",Tabell1[[#This Row],[fixme]])</f>
        <v/>
      </c>
    </row>
    <row customHeight="1" ht="17" r="79">
      <c r="A79" s="12" t="n">
        <v>2</v>
      </c>
      <c r="B79" s="12" t="inlineStr">
        <is>
          <t>ferskvann</t>
        </is>
      </c>
      <c r="C79" s="12" t="inlineStr">
        <is>
          <t>stilleståendeVann</t>
        </is>
      </c>
      <c r="D79" s="12" t="n">
        <v>31</v>
      </c>
      <c r="E79" s="7" t="inlineStr">
        <is>
          <t>vann</t>
        </is>
      </c>
      <c r="F79" t="n">
        <v>13168</v>
      </c>
      <c r="G79" s="12" t="n">
        <v>14069</v>
      </c>
      <c r="H79" s="12" t="inlineStr">
        <is>
          <t>Vann</t>
        </is>
      </c>
      <c r="I79" s="3" t="inlineStr">
        <is>
          <t>Middels stort vann.</t>
        </is>
      </c>
      <c r="J79" s="12" t="inlineStr">
        <is>
          <t>Middels stort vann</t>
        </is>
      </c>
      <c r="K79" s="1" t="inlineStr">
        <is>
          <t>"type = multipolygon", 319
"natural = water", 369
"water = lake", 241</t>
        </is>
      </c>
      <c r="L79" s="5" t="inlineStr">
        <is>
          <t>natural=water; water=lake</t>
        </is>
      </c>
      <c r="O79" s="5">
        <f>CONCATENATE(Tabell1[[#This Row],[OSM tag]],";",Tabell1[[#This Row],[tillegg]],";",Tabell1[[#This Row],[fixme]])</f>
        <v/>
      </c>
    </row>
    <row customHeight="1" ht="17" r="80">
      <c r="A80" s="12" t="n">
        <v>2</v>
      </c>
      <c r="B80" s="12" t="inlineStr">
        <is>
          <t>ferskvann</t>
        </is>
      </c>
      <c r="C80" s="12" t="inlineStr">
        <is>
          <t>stilleståendeVann</t>
        </is>
      </c>
      <c r="D80" s="12" t="n">
        <v>32</v>
      </c>
      <c r="E80" s="7" t="inlineStr">
        <is>
          <t>tjern</t>
        </is>
      </c>
      <c r="F80" t="n">
        <v>58397</v>
      </c>
      <c r="G80" s="12" t="n">
        <v>62457</v>
      </c>
      <c r="H80" s="12" t="inlineStr">
        <is>
          <t>Tjern</t>
        </is>
      </c>
      <c r="I80" s="2" t="inlineStr">
        <is>
          <t>Lite vann.</t>
        </is>
      </c>
      <c r="J80" s="12" t="inlineStr">
        <is>
          <t>Lite vann</t>
        </is>
      </c>
      <c r="K80" s="1" t="inlineStr">
        <is>
          <t>"type = multipolygon", 1277
"natural = water", 2392
"water = lake", 866</t>
        </is>
      </c>
      <c r="L80" s="5" t="inlineStr">
        <is>
          <t>natural=water</t>
        </is>
      </c>
      <c r="O80" s="5">
        <f>CONCATENATE(Tabell1[[#This Row],[OSM tag]],";",Tabell1[[#This Row],[tillegg]],";",Tabell1[[#This Row],[fixme]])</f>
        <v/>
      </c>
    </row>
    <row customHeight="1" ht="17" r="81">
      <c r="A81" s="12" t="n">
        <v>2</v>
      </c>
      <c r="B81" s="12" t="inlineStr">
        <is>
          <t>ferskvann</t>
        </is>
      </c>
      <c r="C81" s="12" t="inlineStr">
        <is>
          <t>stilleståendeVann</t>
        </is>
      </c>
      <c r="D81" s="12" t="n">
        <v>33</v>
      </c>
      <c r="E81" s="12" t="inlineStr">
        <is>
          <t>pytt</t>
        </is>
      </c>
      <c r="F81" t="n">
        <v>1413</v>
      </c>
      <c r="G81" s="12" t="n">
        <v>1286</v>
      </c>
      <c r="H81" s="12" t="inlineStr">
        <is>
          <t>Pytt</t>
        </is>
      </c>
      <c r="I81" s="2" t="inlineStr">
        <is>
          <t>Lite vannhull (mindre enn tjern).</t>
        </is>
      </c>
      <c r="J81" s="12" t="inlineStr">
        <is>
          <t>Liten dam, myrpytt</t>
        </is>
      </c>
      <c r="K81" s="1" t="inlineStr">
        <is>
          <t>"water = pond", 7
"natural = water", 8
"type = multipolygon", 2</t>
        </is>
      </c>
      <c r="L81" s="5" t="inlineStr">
        <is>
          <t>natural=water; water=pond</t>
        </is>
      </c>
      <c r="O81" s="5">
        <f>CONCATENATE(Tabell1[[#This Row],[OSM tag]],";",Tabell1[[#This Row],[tillegg]],";",Tabell1[[#This Row],[fixme]])</f>
        <v/>
      </c>
    </row>
    <row customHeight="1" ht="34" r="82">
      <c r="A82" s="12" t="n">
        <v>8</v>
      </c>
      <c r="B82" s="12" t="inlineStr">
        <is>
          <t>ferskvann</t>
        </is>
      </c>
      <c r="C82" s="12" t="inlineStr">
        <is>
          <t>stilleståendeVann</t>
        </is>
      </c>
      <c r="D82" s="12" t="n">
        <v>201</v>
      </c>
      <c r="E82" s="12" t="inlineStr">
        <is>
          <t>dam</t>
        </is>
      </c>
      <c r="F82" t="n">
        <v>937</v>
      </c>
      <c r="G82" s="12" t="n">
        <v>884</v>
      </c>
      <c r="H82" s="12" t="inlineStr">
        <is>
          <t>Dam</t>
        </is>
      </c>
      <c r="I82" s="2" t="inlineStr">
        <is>
          <t>Vann bak oppbygd hindring, oftest i en elv, for å få jevn vannføring til fløting, til kraftverk eller for å hindre skadeflom.</t>
        </is>
      </c>
      <c r="J82" s="12" t="inlineStr">
        <is>
          <t>Både store reguleringsdammer og små fløtningsdammer</t>
        </is>
      </c>
      <c r="K82" s="1" t="inlineStr">
        <is>
          <t>"waterway = dam", 3
"natural = water", 2</t>
        </is>
      </c>
      <c r="L82" s="5" t="inlineStr">
        <is>
          <t>waterway=dam</t>
        </is>
      </c>
      <c r="M82" s="12" t="n"/>
      <c r="O82" s="5">
        <f>CONCATENATE(Tabell1[[#This Row],[OSM tag]],";",Tabell1[[#This Row],[tillegg]],";",Tabell1[[#This Row],[fixme]])</f>
        <v/>
      </c>
    </row>
    <row customHeight="1" ht="17" r="83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257</v>
      </c>
      <c r="E83" s="12" t="inlineStr">
        <is>
          <t>delAvInnsjø</t>
        </is>
      </c>
      <c r="F83" t="n">
        <v>201</v>
      </c>
      <c r="G83" s="12" t="n">
        <v>129</v>
      </c>
      <c r="H83" s="12" t="inlineStr">
        <is>
          <t>Del av innsjø</t>
        </is>
      </c>
      <c r="I83" s="2" t="inlineStr">
        <is>
          <t>Mindre del av innsjø.</t>
        </is>
      </c>
      <c r="J83" s="12" t="inlineStr">
        <is>
          <t>Mindre del av stor innsjø. Eks. Steinsfjorden i Tyrifjorden</t>
        </is>
      </c>
      <c r="K83" s="1" t="inlineStr">
        <is>
          <t>"natural = bay", 2</t>
        </is>
      </c>
      <c r="L83" s="5" t="inlineStr">
        <is>
          <t>natural=water</t>
        </is>
      </c>
      <c r="M83" s="12" t="n"/>
      <c r="O83" s="5">
        <f>CONCATENATE(Tabell1[[#This Row],[OSM tag]],";",Tabell1[[#This Row],[tillegg]],";",Tabell1[[#This Row],[fixme]])</f>
        <v/>
      </c>
    </row>
    <row customHeight="1" ht="17" r="84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261</v>
      </c>
      <c r="E84" s="12" t="inlineStr">
        <is>
          <t>gruppeAvVann</t>
        </is>
      </c>
      <c r="F84" t="n">
        <v>318</v>
      </c>
      <c r="G84" s="12" t="n">
        <v>166</v>
      </c>
      <c r="H84" s="12" t="inlineStr">
        <is>
          <t>Gruppe av vann</t>
        </is>
      </c>
      <c r="I84" s="2" t="inlineStr">
        <is>
          <t>To eller flere vann.</t>
        </is>
      </c>
      <c r="J84" s="12" t="inlineStr">
        <is>
          <t>To eller flere middels store vann</t>
        </is>
      </c>
      <c r="K84" s="1" t="inlineStr">
        <is>
          <t>"natural = water", 3
"water = lake", 2</t>
        </is>
      </c>
      <c r="L84" s="5" t="inlineStr">
        <is>
          <t>natural=water; water=lake</t>
        </is>
      </c>
      <c r="M84" s="12" t="n"/>
      <c r="O84" s="5">
        <f>CONCATENATE(Tabell1[[#This Row],[OSM tag]],";",Tabell1[[#This Row],[tillegg]],";",Tabell1[[#This Row],[fixme]])</f>
        <v/>
      </c>
    </row>
    <row customHeight="1" ht="17" r="85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262</v>
      </c>
      <c r="E85" s="12" t="inlineStr">
        <is>
          <t>gruppeAvTjern</t>
        </is>
      </c>
      <c r="F85" t="n">
        <v>1836</v>
      </c>
      <c r="G85" s="12" t="n">
        <v>687</v>
      </c>
      <c r="H85" s="12" t="inlineStr">
        <is>
          <t>Gruppe av tjern</t>
        </is>
      </c>
      <c r="I85" s="2" t="inlineStr">
        <is>
          <t>To eller flere små tjern.</t>
        </is>
      </c>
      <c r="J85" s="12" t="inlineStr">
        <is>
          <t>To eller flere små vann</t>
        </is>
      </c>
      <c r="K85" s="1" t="inlineStr">
        <is>
          <t>"natural = water", 73
"water = lake", 44
"type = multipolygon", 38
"place = locality", 5</t>
        </is>
      </c>
      <c r="L85" s="5" t="inlineStr">
        <is>
          <t>natural=water; water=lake</t>
        </is>
      </c>
      <c r="O85" s="5">
        <f>CONCATENATE(Tabell1[[#This Row],[OSM tag]],";",Tabell1[[#This Row],[tillegg]],";",Tabell1[[#This Row],[fixme]])</f>
        <v/>
      </c>
    </row>
    <row customHeight="1" ht="34" r="86">
      <c r="A86" s="12" t="n">
        <v>6</v>
      </c>
      <c r="B86" s="12" t="inlineStr">
        <is>
          <t>infrastruktur</t>
        </is>
      </c>
      <c r="C86" s="12" t="inlineStr">
        <is>
          <t>bane</t>
        </is>
      </c>
      <c r="D86" s="12" t="n">
        <v>161</v>
      </c>
      <c r="E86" s="12" t="inlineStr">
        <is>
          <t>stasjon</t>
        </is>
      </c>
      <c r="F86" t="n">
        <v>429</v>
      </c>
      <c r="G86" s="12" t="n">
        <v>506</v>
      </c>
      <c r="H86" s="12" t="inlineStr">
        <is>
          <t>Stasjon</t>
        </is>
      </c>
      <c r="I86" s="2" t="inlineStr">
        <is>
          <t>Stoppested for jernbane, tunnelbane og/eller trikk. Som regel betjent.</t>
        </is>
      </c>
      <c r="J86" s="12" t="inlineStr">
        <is>
          <t>Betjent stoppested for jernbane og trikk</t>
        </is>
      </c>
      <c r="K86" s="1" t="inlineStr">
        <is>
          <t>"abandoned:railway = station", 2
"railway:traffic_mode = passenger", 3
"train = yes", 4
"place = locality", 2
"railway = station", 4</t>
        </is>
      </c>
      <c r="L86" s="5" t="inlineStr">
        <is>
          <t>railway=station; train=yes</t>
        </is>
      </c>
      <c r="O86" s="5">
        <f>CONCATENATE(Tabell1[[#This Row],[OSM tag]],";",Tabell1[[#This Row],[tillegg]],";",Tabell1[[#This Row],[fixme]])</f>
        <v/>
      </c>
      <c r="P86" s="5" t="inlineStr">
        <is>
          <t>Already mapped?</t>
        </is>
      </c>
    </row>
    <row customHeight="1" ht="17" r="87">
      <c r="A87" s="12" t="n">
        <v>6</v>
      </c>
      <c r="B87" s="12" t="inlineStr">
        <is>
          <t>infrastruktur</t>
        </is>
      </c>
      <c r="C87" s="12" t="inlineStr">
        <is>
          <t>bane</t>
        </is>
      </c>
      <c r="D87" s="12" t="n">
        <v>162</v>
      </c>
      <c r="E87" s="12" t="inlineStr">
        <is>
          <t>holdeplass</t>
        </is>
      </c>
      <c r="F87" t="n">
        <v>251</v>
      </c>
      <c r="G87" s="12" t="n">
        <v>215</v>
      </c>
      <c r="H87" s="12" t="inlineStr">
        <is>
          <t>Holdeplass</t>
        </is>
      </c>
      <c r="I87" s="2" t="inlineStr">
        <is>
          <t>Ubetjent stoppested for jernbane, tunnelbane og/eller trikk.</t>
        </is>
      </c>
      <c r="J87" s="12" t="inlineStr">
        <is>
          <t>Ubetjent stoppested for jernbane og trikk</t>
        </is>
      </c>
      <c r="K87" s="1" t="inlineStr">
        <is>
          <t>"railway = halt", 5
"train = yes", 2
"place = locality", 2
"disused:railway = halt", 2
"railway:traffic_mode = passenger", 7
"abandoned:railway = halt", 2</t>
        </is>
      </c>
      <c r="L87" s="5" t="inlineStr">
        <is>
          <t>railway=halt; train=yes</t>
        </is>
      </c>
      <c r="O87" s="5">
        <f>CONCATENATE(Tabell1[[#This Row],[OSM tag]],";",Tabell1[[#This Row],[tillegg]],";",Tabell1[[#This Row],[fixme]])</f>
        <v/>
      </c>
      <c r="P87" s="5" t="inlineStr">
        <is>
          <t>Already mapped?</t>
        </is>
      </c>
    </row>
    <row customHeight="1" ht="17" r="88">
      <c r="A88" s="12" t="n">
        <v>6</v>
      </c>
      <c r="B88" s="12" t="inlineStr">
        <is>
          <t>infrastruktur</t>
        </is>
      </c>
      <c r="C88" s="12" t="inlineStr">
        <is>
          <t>bane</t>
        </is>
      </c>
      <c r="D88" s="12" t="n">
        <v>219</v>
      </c>
      <c r="E88" s="12" t="inlineStr">
        <is>
          <t>banestrekning</t>
        </is>
      </c>
      <c r="G88" s="12" t="n">
        <v>45</v>
      </c>
      <c r="H88" s="12" t="inlineStr">
        <is>
          <t>Jernbanestrekning</t>
        </is>
      </c>
      <c r="I88" s="2" t="inlineStr">
        <is>
          <t>Jernbanestrekning, tunnelbane eller trikkelinje/-strekning.</t>
        </is>
      </c>
      <c r="J88" s="12" t="inlineStr">
        <is>
          <t>Lang jernbanestrekning. Eks. Ofotbanen, Bergensbanen</t>
        </is>
      </c>
      <c r="K88" s="5" t="n"/>
      <c r="L88" s="9" t="n"/>
      <c r="O88" s="5">
        <f>CONCATENATE(Tabell1[[#This Row],[OSM tag]],";",Tabell1[[#This Row],[tillegg]],";",Tabell1[[#This Row],[fixme]])</f>
        <v/>
      </c>
      <c r="P88" s="5" t="inlineStr">
        <is>
          <t>Already in OSM</t>
        </is>
      </c>
    </row>
    <row customHeight="1" ht="17" r="89">
      <c r="A89" s="12" t="n">
        <v>5</v>
      </c>
      <c r="B89" s="12" t="inlineStr">
        <is>
          <t>infrastruktur</t>
        </is>
      </c>
      <c r="C89" s="12" t="inlineStr">
        <is>
          <t>energi</t>
        </is>
      </c>
      <c r="D89" s="12" t="n">
        <v>114</v>
      </c>
      <c r="E89" s="12" t="inlineStr">
        <is>
          <t>kraftstasjon</t>
        </is>
      </c>
      <c r="F89" t="n">
        <v>174</v>
      </c>
      <c r="G89" s="12" t="n">
        <v>174</v>
      </c>
      <c r="H89" s="12" t="inlineStr">
        <is>
          <t>Kraftstasjon</t>
        </is>
      </c>
      <c r="I89" s="2" t="inlineStr">
        <is>
          <t>Alle typer / alle størrelser til energiproduksjon (f.eks. el. og varme).</t>
        </is>
      </c>
      <c r="J89" s="12" t="inlineStr">
        <is>
          <t>Alle typer / alle størrelser til energiproduksjon (f.eks. el. og varme)</t>
        </is>
      </c>
      <c r="K89" s="1" t="inlineStr"/>
      <c r="L89" s="5" t="inlineStr">
        <is>
          <t>power=plant; landuse=industrial</t>
        </is>
      </c>
      <c r="O89" s="5">
        <f>CONCATENATE(Tabell1[[#This Row],[OSM tag]],";",Tabell1[[#This Row],[tillegg]],";",Tabell1[[#This Row],[fixme]])</f>
        <v/>
      </c>
    </row>
    <row customHeight="1" ht="17" r="90">
      <c r="A90" s="12" t="n">
        <v>8</v>
      </c>
      <c r="B90" s="12" t="inlineStr">
        <is>
          <t>infrastruktur</t>
        </is>
      </c>
      <c r="C90" s="12" t="inlineStr">
        <is>
          <t>energi</t>
        </is>
      </c>
      <c r="D90" s="12" t="n">
        <v>196</v>
      </c>
      <c r="E90" s="12" t="inlineStr">
        <is>
          <t>rørledning</t>
        </is>
      </c>
      <c r="G90" s="12" t="n">
        <v>5</v>
      </c>
      <c r="H90" s="12" t="inlineStr">
        <is>
          <t>Rørledning</t>
        </is>
      </c>
      <c r="I90" s="2" t="inlineStr">
        <is>
          <t>Alle typer rørledninger: Olje, gass, vann og lignende</t>
        </is>
      </c>
      <c r="J90" s="12" t="inlineStr">
        <is>
          <t>Alle typer rørledninger, til olje, gass, vann, o.l.</t>
        </is>
      </c>
      <c r="K90" s="5" t="n"/>
      <c r="L90" s="5" t="inlineStr">
        <is>
          <t>man_made=pipeline</t>
        </is>
      </c>
      <c r="O90" s="5">
        <f>CONCATENATE(Tabell1[[#This Row],[OSM tag]],";",Tabell1[[#This Row],[tillegg]],";",Tabell1[[#This Row],[fixme]])</f>
        <v/>
      </c>
    </row>
    <row customHeight="1" ht="34" r="91">
      <c r="A91" s="12" t="n">
        <v>8</v>
      </c>
      <c r="B91" s="12" t="inlineStr">
        <is>
          <t>infrastruktur</t>
        </is>
      </c>
      <c r="C91" s="12" t="inlineStr">
        <is>
          <t>energi</t>
        </is>
      </c>
      <c r="D91" s="12" t="n">
        <v>197</v>
      </c>
      <c r="E91" s="12" t="inlineStr">
        <is>
          <t>oljeinstallasjon</t>
        </is>
      </c>
      <c r="G91" s="12" t="n">
        <v>3</v>
      </c>
      <c r="H91" s="12" t="inlineStr">
        <is>
          <t>Oljeinstallasjon (sjø)</t>
        </is>
      </c>
      <c r="I91" s="2" t="inlineStr">
        <is>
          <t>Stasjonær olje- og gassinstallasjon (fast eller flytende).</t>
        </is>
      </c>
      <c r="J91" s="12" t="inlineStr">
        <is>
          <t>Stasjonære oljeinstallasjoner (faste og flytende)</t>
        </is>
      </c>
      <c r="K91" s="5" t="n"/>
      <c r="L91" s="5" t="inlineStr">
        <is>
          <t>man_made=offshore_platform; seamark:type=platform</t>
        </is>
      </c>
      <c r="O91" s="5">
        <f>CONCATENATE(Tabell1[[#This Row],[OSM tag]],";",Tabell1[[#This Row],[tillegg]],";",Tabell1[[#This Row],[fixme]])</f>
        <v/>
      </c>
    </row>
    <row customHeight="1" ht="17" r="92">
      <c r="A92" s="12" t="n">
        <v>8</v>
      </c>
      <c r="B92" s="12" t="inlineStr">
        <is>
          <t>infrastruktur</t>
        </is>
      </c>
      <c r="C92" s="12" t="inlineStr">
        <is>
          <t>energi</t>
        </is>
      </c>
      <c r="D92" s="12" t="n">
        <v>198</v>
      </c>
      <c r="E92" s="7" t="inlineStr">
        <is>
          <t>kraftledning</t>
        </is>
      </c>
      <c r="G92" s="12" t="n">
        <v>17</v>
      </c>
      <c r="H92" s="12" t="inlineStr">
        <is>
          <t>Kraftledning</t>
        </is>
      </c>
      <c r="I92" s="2" t="inlineStr">
        <is>
          <t>Stor strømoverføringsledning.</t>
        </is>
      </c>
      <c r="J92" s="12" t="inlineStr">
        <is>
          <t>Store strømoverføringsledninger</t>
        </is>
      </c>
      <c r="K92" s="5" t="n"/>
      <c r="O92" s="5">
        <f>CONCATENATE(Tabell1[[#This Row],[OSM tag]],";",Tabell1[[#This Row],[tillegg]],";",Tabell1[[#This Row],[fixme]])</f>
        <v/>
      </c>
      <c r="P92" s="5" t="inlineStr">
        <is>
          <t>Already mapped</t>
        </is>
      </c>
    </row>
    <row customHeight="1" ht="17" r="93">
      <c r="A93" s="12" t="n">
        <v>8</v>
      </c>
      <c r="B93" s="12" t="inlineStr">
        <is>
          <t>infrastruktur</t>
        </is>
      </c>
      <c r="C93" s="12" t="inlineStr">
        <is>
          <t>energi</t>
        </is>
      </c>
      <c r="D93" s="12" t="n">
        <v>199</v>
      </c>
      <c r="E93" s="7" t="inlineStr">
        <is>
          <t>kraftgateRørgate</t>
        </is>
      </c>
      <c r="G93" s="12" t="n">
        <v>1</v>
      </c>
      <c r="H93" s="12" t="inlineStr">
        <is>
          <t>Kraftgate (rørgate)</t>
        </is>
      </c>
      <c r="I93" s="2" t="inlineStr">
        <is>
          <t>Store tilførselsrør for kraftanlegg.</t>
        </is>
      </c>
      <c r="J93" s="12" t="inlineStr">
        <is>
          <t>Store tilførselsrør for kraftanlegg</t>
        </is>
      </c>
      <c r="K93" s="5" t="n"/>
      <c r="L93" s="5" t="inlineStr">
        <is>
          <t>man_made=pipeline; substance=water</t>
        </is>
      </c>
      <c r="O93" s="5">
        <f>CONCATENATE(Tabell1[[#This Row],[OSM tag]],";",Tabell1[[#This Row],[tillegg]],";",Tabell1[[#This Row],[fixme]])</f>
        <v/>
      </c>
    </row>
    <row customHeight="1" ht="17" r="94">
      <c r="A94" s="12" t="n">
        <v>8</v>
      </c>
      <c r="B94" s="12" t="inlineStr">
        <is>
          <t>infrastruktur</t>
        </is>
      </c>
      <c r="C94" s="12" t="inlineStr">
        <is>
          <t>energi</t>
        </is>
      </c>
      <c r="D94" s="12" t="n">
        <v>200</v>
      </c>
      <c r="E94" s="12" t="inlineStr">
        <is>
          <t>kabel</t>
        </is>
      </c>
      <c r="G94" s="12" t="n">
        <v>1</v>
      </c>
      <c r="H94" s="12" t="inlineStr">
        <is>
          <t>Kabel</t>
        </is>
      </c>
      <c r="I94" s="2" t="inlineStr">
        <is>
          <t>Alle typer kabler i sjø eller i ferskvann.</t>
        </is>
      </c>
      <c r="J94" s="12" t="inlineStr">
        <is>
          <t>Alle typer kabler i sjø og ferskvann</t>
        </is>
      </c>
      <c r="K94" s="5" t="n"/>
      <c r="L94" s="5" t="inlineStr">
        <is>
          <t>seamark:type=cable_submarine</t>
        </is>
      </c>
      <c r="O94" s="5">
        <f>CONCATENATE(Tabell1[[#This Row],[OSM tag]],";",Tabell1[[#This Row],[tillegg]],";",Tabell1[[#This Row],[fixme]])</f>
        <v/>
      </c>
    </row>
    <row customHeight="1" ht="34" r="95">
      <c r="A95" s="12" t="n">
        <v>5</v>
      </c>
      <c r="B95" s="12" t="inlineStr">
        <is>
          <t>infrastruktur</t>
        </is>
      </c>
      <c r="C95" s="12" t="inlineStr">
        <is>
          <t>kommunikasjon</t>
        </is>
      </c>
      <c r="D95" s="12" t="n">
        <v>131</v>
      </c>
      <c r="E95" s="7" t="inlineStr">
        <is>
          <t>tV-Radio-EllerMobiltelefontårn</t>
        </is>
      </c>
      <c r="G95" s="12" t="n">
        <v>29</v>
      </c>
      <c r="H95" s="12" t="inlineStr">
        <is>
          <t>TV-/radiomast</t>
        </is>
      </c>
      <c r="I95" s="2" t="inlineStr">
        <is>
          <t>Alle typer bakkebasert telekommunikasjon.</t>
        </is>
      </c>
      <c r="J95" s="12" t="inlineStr">
        <is>
          <t>TV-/radiotårn. Alle typer bakkebasert telekommunikasjon</t>
        </is>
      </c>
      <c r="K95" s="5" t="n"/>
      <c r="L95" s="2" t="inlineStr">
        <is>
          <t>man_made=tower; tower:type=communications</t>
        </is>
      </c>
      <c r="O95" s="5">
        <f>CONCATENATE(Tabell1[[#This Row],[OSM tag]],";",Tabell1[[#This Row],[tillegg]],";",Tabell1[[#This Row],[fixme]])</f>
        <v/>
      </c>
      <c r="P95" s="5" t="inlineStr">
        <is>
          <t>Only large TV towers ("hovedsendere") have names</t>
        </is>
      </c>
    </row>
    <row customHeight="1" ht="34" r="96">
      <c r="A96" s="12" t="n">
        <v>6</v>
      </c>
      <c r="B96" s="12" t="inlineStr">
        <is>
          <t>infrastruktur</t>
        </is>
      </c>
      <c r="C96" s="12" t="inlineStr">
        <is>
          <t>luftfart</t>
        </is>
      </c>
      <c r="D96" s="12" t="n">
        <v>164</v>
      </c>
      <c r="E96" s="12" t="inlineStr">
        <is>
          <t>flyplass</t>
        </is>
      </c>
      <c r="F96" t="n">
        <v>74</v>
      </c>
      <c r="G96" s="12" t="n">
        <v>120</v>
      </c>
      <c r="H96" s="12" t="inlineStr">
        <is>
          <t>Flyplass</t>
        </is>
      </c>
      <c r="I96" s="2" t="inlineStr">
        <is>
          <t>Offentlig godkjent, avgrenset område med start- og landingsplass for fly.</t>
        </is>
      </c>
      <c r="J96" s="12" t="inlineStr">
        <is>
          <t>Landingsplass for rutegående flytrafikk og regulert privat flygning</t>
        </is>
      </c>
      <c r="K96" s="1" t="inlineStr">
        <is>
          <t>"aeroway = aerodrome", 3
"icao = ENGK", 2
"type = multipolygon", 2</t>
        </is>
      </c>
      <c r="L96" s="5" t="inlineStr">
        <is>
          <t>aeroway=aerodrome</t>
        </is>
      </c>
      <c r="O96" s="5">
        <f>CONCATENATE(Tabell1[[#This Row],[OSM tag]],";",Tabell1[[#This Row],[tillegg]],";",Tabell1[[#This Row],[fixme]])</f>
        <v/>
      </c>
    </row>
    <row customHeight="1" ht="17" r="97">
      <c r="A97" s="12" t="n">
        <v>6</v>
      </c>
      <c r="B97" s="12" t="inlineStr">
        <is>
          <t>infrastruktur</t>
        </is>
      </c>
      <c r="C97" s="12" t="inlineStr">
        <is>
          <t>luftfart</t>
        </is>
      </c>
      <c r="D97" s="12" t="n">
        <v>165</v>
      </c>
      <c r="E97" s="12" t="inlineStr">
        <is>
          <t>landingsplass</t>
        </is>
      </c>
      <c r="G97" s="12" t="n">
        <v>22</v>
      </c>
      <c r="H97" s="12" t="inlineStr">
        <is>
          <t>Landingsstripe</t>
        </is>
      </c>
      <c r="I97" s="2" t="inlineStr">
        <is>
          <t>Landingsplass for helikopter og/eller privatfly.</t>
        </is>
      </c>
      <c r="J97" s="12" t="inlineStr">
        <is>
          <t>Landingsplass for privat flygning</t>
        </is>
      </c>
      <c r="K97" s="5" t="n"/>
      <c r="L97" s="5" t="inlineStr">
        <is>
          <t>aeroway=airstrip</t>
        </is>
      </c>
      <c r="O97" s="5">
        <f>CONCATENATE(Tabell1[[#This Row],[OSM tag]],";",Tabell1[[#This Row],[tillegg]],";",Tabell1[[#This Row],[fixme]])</f>
        <v/>
      </c>
    </row>
    <row customHeight="1" ht="34" r="98">
      <c r="A98" s="12" t="n">
        <v>5</v>
      </c>
      <c r="B98" s="12" t="inlineStr">
        <is>
          <t>infrastruktur</t>
        </is>
      </c>
      <c r="C98" s="12" t="inlineStr">
        <is>
          <t>navigasjon</t>
        </is>
      </c>
      <c r="D98" s="12" t="n">
        <v>129</v>
      </c>
      <c r="E98" s="12" t="inlineStr">
        <is>
          <t>fyrstasjon</t>
        </is>
      </c>
      <c r="F98" t="n">
        <v>100</v>
      </c>
      <c r="G98" s="12" t="n">
        <v>98</v>
      </c>
      <c r="H98" s="12" t="inlineStr">
        <is>
          <t>Fyr (fyrstasjon)</t>
        </is>
      </c>
      <c r="I98" s="2" t="inlineStr">
        <is>
          <t>Automatisk og ubemannet. Et fast anlegg hvor linse og lyskilde er anbrakt i hus, tårn eller spesielt bygg. Ikke flytende.</t>
        </is>
      </c>
      <c r="J98" s="12" t="inlineStr">
        <is>
          <t>Offisielt fyr og fyrstasjon langs kysten</t>
        </is>
      </c>
      <c r="K98" s="1" t="inlineStr"/>
      <c r="O98" s="5">
        <f>CONCATENATE(Tabell1[[#This Row],[OSM tag]],";",Tabell1[[#This Row],[tillegg]],";",Tabell1[[#This Row],[fixme]])</f>
        <v/>
      </c>
      <c r="P98" s="5" t="inlineStr">
        <is>
          <t>Already imported</t>
        </is>
      </c>
    </row>
    <row customHeight="1" ht="17" r="99">
      <c r="A99" s="12" t="n">
        <v>5</v>
      </c>
      <c r="B99" s="12" t="inlineStr">
        <is>
          <t>infrastruktur</t>
        </is>
      </c>
      <c r="C99" s="12" t="inlineStr">
        <is>
          <t>navigasjon</t>
        </is>
      </c>
      <c r="D99" s="12" t="n">
        <v>130</v>
      </c>
      <c r="E99" s="12" t="inlineStr">
        <is>
          <t>fyrlykt</t>
        </is>
      </c>
      <c r="F99" t="n">
        <v>2209</v>
      </c>
      <c r="G99" s="12" t="n">
        <v>2333</v>
      </c>
      <c r="H99" s="12" t="inlineStr">
        <is>
          <t>Lykt (fyrlykt)</t>
        </is>
      </c>
      <c r="I99" s="2" t="inlineStr">
        <is>
          <t>Linse og lyskilde anbrakt i hus eller liknende. Ikke flytende.</t>
        </is>
      </c>
      <c r="J99" s="12" t="inlineStr">
        <is>
          <t>Offisiell og privat lykt/fyrlykt langs kysten og i innlandet</t>
        </is>
      </c>
      <c r="K99" s="1" t="inlineStr">
        <is>
          <t>"man_made = lighthouse", 3
"seamark:kystverket:information = Lyktehus på søyle", 7
"seamark:kystverket:information = 4-FL/SC", 3
"seamark:kystverket:information = 4-FL/NB", 2
"seamark:kystverket:information = FL/SC", 12
"man_made = beacon", 6
"seamark:type = light_minor", 32
"source:seamark = Kystverket", 32
"seamark:kystverket:information = Lyktehus", 2
"seamark:kystverket:information = FL/NB", 4
"note = Fyrlykt", 31</t>
        </is>
      </c>
      <c r="O99" s="5">
        <f>CONCATENATE(Tabell1[[#This Row],[OSM tag]],";",Tabell1[[#This Row],[tillegg]],";",Tabell1[[#This Row],[fixme]])</f>
        <v/>
      </c>
      <c r="P99" s="5" t="inlineStr">
        <is>
          <t>Already imported</t>
        </is>
      </c>
    </row>
    <row customHeight="1" ht="34" r="100">
      <c r="A100" s="12" t="n">
        <v>8</v>
      </c>
      <c r="B100" s="12" t="inlineStr">
        <is>
          <t>infrastruktur</t>
        </is>
      </c>
      <c r="C100" s="12" t="inlineStr">
        <is>
          <t>navigasjon</t>
        </is>
      </c>
      <c r="D100" s="12" t="n">
        <v>254</v>
      </c>
      <c r="E100" s="7" t="inlineStr">
        <is>
          <t>varde</t>
        </is>
      </c>
      <c r="F100" t="n">
        <v>239</v>
      </c>
      <c r="G100" s="12" t="n">
        <v>202</v>
      </c>
      <c r="H100" s="12" t="inlineStr">
        <is>
          <t>Varde</t>
        </is>
      </c>
      <c r="I100" s="2" t="inlineStr">
        <is>
          <t>(Som oftest) oppstablet stein som skal markere sti, grensemerke, trigonometrisk punkt og lignende</t>
        </is>
      </c>
      <c r="J100" s="12" t="inlineStr">
        <is>
          <t>F.eks. merkerøys, steinrøys, langs kysten og i innlandet</t>
        </is>
      </c>
      <c r="K100" s="1" t="inlineStr">
        <is>
          <t>"place = locality", 2
"man_made = cairn", 3</t>
        </is>
      </c>
      <c r="L100" s="5" t="inlineStr">
        <is>
          <t>man_made=cairn</t>
        </is>
      </c>
      <c r="M100" s="12" t="inlineStr">
        <is>
          <t>place=locality</t>
        </is>
      </c>
      <c r="O100" s="5">
        <f>CONCATENATE(Tabell1[[#This Row],[OSM tag]],";",Tabell1[[#This Row],[tillegg]],";",Tabell1[[#This Row],[fixme]])</f>
        <v/>
      </c>
    </row>
    <row customHeight="1" ht="34" r="101">
      <c r="A101" s="12" t="n">
        <v>8</v>
      </c>
      <c r="B101" s="12" t="inlineStr">
        <is>
          <t>infrastruktur</t>
        </is>
      </c>
      <c r="C101" s="12" t="inlineStr">
        <is>
          <t>navigasjon</t>
        </is>
      </c>
      <c r="D101" s="12" t="n">
        <v>272</v>
      </c>
      <c r="E101" s="12" t="inlineStr">
        <is>
          <t>lanterne</t>
        </is>
      </c>
      <c r="F101" t="n">
        <v>538</v>
      </c>
      <c r="G101" s="12" t="n">
        <v>490</v>
      </c>
      <c r="H101" s="12" t="inlineStr">
        <is>
          <t>Lanterne</t>
        </is>
      </c>
      <c r="I101" s="2" t="inlineStr">
        <is>
          <t>En innretning hvor linsen med eller uten beskyttelsesglass utgjør en del av den bærende del av konstruksjonen. Ikke flytende.</t>
        </is>
      </c>
      <c r="J101" s="12" t="inlineStr">
        <is>
          <t>Offisiell og privat lanterne langs kysten og i innlandet, fast</t>
        </is>
      </c>
      <c r="K101" s="1" t="inlineStr"/>
      <c r="O101" s="5">
        <f>CONCATENATE(Tabell1[[#This Row],[OSM tag]],";",Tabell1[[#This Row],[tillegg]],";",Tabell1[[#This Row],[fixme]])</f>
        <v/>
      </c>
      <c r="P101" s="5" t="inlineStr">
        <is>
          <t>Already mapped</t>
        </is>
      </c>
    </row>
    <row customHeight="1" ht="17" r="102">
      <c r="A102" s="12" t="n">
        <v>8</v>
      </c>
      <c r="B102" s="12" t="inlineStr">
        <is>
          <t>infrastruktur</t>
        </is>
      </c>
      <c r="C102" s="12" t="inlineStr">
        <is>
          <t>navigasjon</t>
        </is>
      </c>
      <c r="D102" s="12" t="n">
        <v>273</v>
      </c>
      <c r="E102" s="12" t="inlineStr">
        <is>
          <t>stake</t>
        </is>
      </c>
      <c r="G102" s="12" t="n">
        <v>5</v>
      </c>
      <c r="H102" s="12" t="inlineStr">
        <is>
          <t>Stang</t>
        </is>
      </c>
      <c r="I102" s="2" t="inlineStr">
        <is>
          <t>Flytende sjømerke. Ofte kalt bøyestake, stakebøye, kubbestake.</t>
        </is>
      </c>
      <c r="J102" s="12" t="inlineStr">
        <is>
          <t>Offisiell og privat jernstang langs kysten og i innlandet, fast</t>
        </is>
      </c>
      <c r="K102" s="5" t="n"/>
      <c r="O102" s="5">
        <f>CONCATENATE(Tabell1[[#This Row],[OSM tag]],";",Tabell1[[#This Row],[tillegg]],";",Tabell1[[#This Row],[fixme]])</f>
        <v/>
      </c>
      <c r="P102" s="5" t="inlineStr">
        <is>
          <t>Already mapped</t>
        </is>
      </c>
    </row>
    <row customHeight="1" ht="34" r="103">
      <c r="A103" s="12" t="n">
        <v>8</v>
      </c>
      <c r="B103" s="12" t="inlineStr">
        <is>
          <t>infrastruktur</t>
        </is>
      </c>
      <c r="C103" s="12" t="inlineStr">
        <is>
          <t>navigasjon</t>
        </is>
      </c>
      <c r="D103" s="12" t="n">
        <v>275</v>
      </c>
      <c r="E103" s="12" t="inlineStr">
        <is>
          <t>lysbøye</t>
        </is>
      </c>
      <c r="G103" s="12" t="n">
        <v>67</v>
      </c>
      <c r="H103" s="12" t="inlineStr">
        <is>
          <t>Lysbøye</t>
        </is>
      </c>
      <c r="I103" s="2" t="inlineStr">
        <is>
          <t>Flytende innretning for farvannsmerking med en lanterne som lyskilde.</t>
        </is>
      </c>
      <c r="J103" s="12" t="inlineStr">
        <is>
          <t>Offisiell og privat lysbøye langs kysten og i innlandet, flytende</t>
        </is>
      </c>
      <c r="K103" s="5" t="n"/>
      <c r="O103" s="5">
        <f>CONCATENATE(Tabell1[[#This Row],[OSM tag]],";",Tabell1[[#This Row],[tillegg]],";",Tabell1[[#This Row],[fixme]])</f>
        <v/>
      </c>
      <c r="P103" s="5" t="inlineStr">
        <is>
          <t>Already mapped</t>
        </is>
      </c>
    </row>
    <row customHeight="1" ht="17" r="104">
      <c r="A104" s="12" t="n">
        <v>8</v>
      </c>
      <c r="B104" s="12" t="inlineStr">
        <is>
          <t>infrastruktur</t>
        </is>
      </c>
      <c r="C104" s="12" t="inlineStr">
        <is>
          <t>navigasjon</t>
        </is>
      </c>
      <c r="D104" s="12" t="n">
        <v>276</v>
      </c>
      <c r="E104" s="12" t="inlineStr">
        <is>
          <t>båke</t>
        </is>
      </c>
      <c r="G104" s="12" t="n">
        <v>1</v>
      </c>
      <c r="H104" s="12" t="inlineStr">
        <is>
          <t>Båke (seilingsmerke)</t>
        </is>
      </c>
      <c r="I104" s="2" t="inlineStr">
        <is>
          <t>Fast sjømerke. Sprinkelverk bygget i tre eller metall.</t>
        </is>
      </c>
      <c r="J104" s="12" t="inlineStr">
        <is>
          <t>Offisiell og privat båke langs kysten og i innlandet, fast</t>
        </is>
      </c>
      <c r="K104" s="5" t="n"/>
      <c r="M104" s="12" t="n"/>
      <c r="O104" s="5">
        <f>CONCATENATE(Tabell1[[#This Row],[OSM tag]],";",Tabell1[[#This Row],[tillegg]],";",Tabell1[[#This Row],[fixme]])</f>
        <v/>
      </c>
      <c r="P104" s="5" t="inlineStr">
        <is>
          <t>Already mapped</t>
        </is>
      </c>
    </row>
    <row customHeight="1" ht="34" r="105">
      <c r="A105" s="12" t="n">
        <v>8</v>
      </c>
      <c r="B105" s="12" t="inlineStr">
        <is>
          <t>infrastruktur</t>
        </is>
      </c>
      <c r="C105" s="12" t="inlineStr">
        <is>
          <t>navigasjon</t>
        </is>
      </c>
      <c r="D105" s="12" t="n">
        <v>277</v>
      </c>
      <c r="E105" s="12" t="inlineStr">
        <is>
          <t>overett</t>
        </is>
      </c>
      <c r="G105" s="12" t="n">
        <v>1</v>
      </c>
      <c r="H105" s="12" t="inlineStr">
        <is>
          <t>Overett (seilingsmerker)</t>
        </is>
      </c>
      <c r="I105" s="2" t="inlineStr">
        <is>
          <t>To sjømerker, med eller uten lys, som, når de peiles på linje, viser kurs for gjennomseiling.</t>
        </is>
      </c>
      <c r="J105" s="12" t="inlineStr">
        <is>
          <t>Offisiell og privat. To stenger med eller uten lys overett, langs kysten og i  innlandet, faste</t>
        </is>
      </c>
      <c r="K105" s="5" t="n"/>
      <c r="O105" s="5">
        <f>CONCATENATE(Tabell1[[#This Row],[OSM tag]],";",Tabell1[[#This Row],[tillegg]],";",Tabell1[[#This Row],[fixme]])</f>
        <v/>
      </c>
      <c r="P105" s="5" t="inlineStr">
        <is>
          <t>Already mapped</t>
        </is>
      </c>
    </row>
    <row customHeight="1" ht="17" r="106">
      <c r="B106" s="12" t="inlineStr">
        <is>
          <t>infrastruktur</t>
        </is>
      </c>
      <c r="C106" s="12" t="inlineStr">
        <is>
          <t>navigasjon</t>
        </is>
      </c>
      <c r="E106" s="12" t="inlineStr">
        <is>
          <t>jernstang</t>
        </is>
      </c>
      <c r="I106" s="2" t="inlineStr">
        <is>
          <t>Fast sjømerke av typen jernstang eller jernsøyle.</t>
        </is>
      </c>
      <c r="J106" s="12" t="n"/>
      <c r="K106" s="5" t="n"/>
      <c r="L106" s="9" t="n"/>
      <c r="O106" s="5">
        <f>CONCATENATE(Tabell1[[#This Row],[OSM tag]],";",Tabell1[[#This Row],[tillegg]],";",Tabell1[[#This Row],[fixme]])</f>
        <v/>
      </c>
      <c r="P106" s="5" t="inlineStr">
        <is>
          <t>Already mapped</t>
        </is>
      </c>
    </row>
    <row customHeight="1" ht="17" r="107">
      <c r="B107" s="12" t="inlineStr">
        <is>
          <t>infrastruktur</t>
        </is>
      </c>
      <c r="C107" s="12" t="inlineStr">
        <is>
          <t>navigasjon</t>
        </is>
      </c>
      <c r="E107" s="7" t="inlineStr">
        <is>
          <t>sjømerke</t>
        </is>
      </c>
      <c r="I107" s="2" t="inlineStr">
        <is>
          <t>Varde av stein eller betong.</t>
        </is>
      </c>
      <c r="J107" s="12" t="n"/>
      <c r="K107" s="5" t="n"/>
      <c r="O107" s="5">
        <f>CONCATENATE(Tabell1[[#This Row],[OSM tag]],";",Tabell1[[#This Row],[tillegg]],";",Tabell1[[#This Row],[fixme]])</f>
        <v/>
      </c>
      <c r="P107" s="5" t="inlineStr">
        <is>
          <t>Already mapped</t>
        </is>
      </c>
    </row>
    <row customHeight="1" ht="34" r="108">
      <c r="A108" s="12" t="n">
        <v>6</v>
      </c>
      <c r="B108" s="12" t="inlineStr">
        <is>
          <t>infrastruktur</t>
        </is>
      </c>
      <c r="C108" s="12" t="inlineStr">
        <is>
          <t>samferdselsanlegg</t>
        </is>
      </c>
      <c r="D108" s="12" t="n">
        <v>146</v>
      </c>
      <c r="E108" s="12" t="inlineStr">
        <is>
          <t>bru</t>
        </is>
      </c>
      <c r="F108" t="n">
        <v>8652</v>
      </c>
      <c r="G108" s="12" t="n">
        <v>10197</v>
      </c>
      <c r="H108" s="12" t="inlineStr">
        <is>
          <t>Bru</t>
        </is>
      </c>
      <c r="I108" s="2" t="inlineStr">
        <is>
          <t>Både på veg og jernbane.</t>
        </is>
      </c>
      <c r="J108" s="12" t="inlineStr">
        <is>
          <t>Både for veg og jernbane. Angi ett punkt i hver ende for store bruer og ett midt på for små bruer.</t>
        </is>
      </c>
      <c r="K108" s="1" t="inlineStr">
        <is>
          <t>"man_made = tunnel", 3
"layer = -1", 3
"lanes = 1", 3
"int_ref = E 134", 2
"bridge = yes", 65
"historic = bridge", 2
"old_ref = 202", 2
"place = locality", 2
"highway = secondary", 11
"old_ref = 459", 2
"width = 3.0", 2
"old_ref = 158", 2
"highway = tertiary", 2
"surface = paved", 4
"lit = yes", 4
"source:maxspeed = sign", 2
"highway = primary", 33
"old_ref = 408", 2
"old_ref = 49", 3
"highway = trunk", 4
"layer = 1", 64
"surface = asphalt", 9
"place = suburb", 2
"highway = track", 4
"nvdb:id = 339480834", 2
"int_ref = E 39", 2
"highway = residential", 2
"waterway = stream", 2
"man_made = bridge", 28</t>
        </is>
      </c>
      <c r="L108" s="5" t="inlineStr">
        <is>
          <t>bridge=yes; layer=1</t>
        </is>
      </c>
      <c r="O108" s="5">
        <f>CONCATENATE(Tabell1[[#This Row],[OSM tag]],";",Tabell1[[#This Row],[tillegg]],";",Tabell1[[#This Row],[fixme]])</f>
        <v/>
      </c>
      <c r="P108" s="5" t="inlineStr">
        <is>
          <t>NB: Only tag where name contains "bru" or "bro"</t>
        </is>
      </c>
    </row>
    <row customHeight="1" ht="34" r="109">
      <c r="A109" s="12" t="n">
        <v>6</v>
      </c>
      <c r="B109" s="12" t="inlineStr">
        <is>
          <t>infrastruktur</t>
        </is>
      </c>
      <c r="C109" s="12" t="inlineStr">
        <is>
          <t>samferdselsanlegg</t>
        </is>
      </c>
      <c r="D109" s="12" t="n">
        <v>147</v>
      </c>
      <c r="E109" s="12" t="inlineStr">
        <is>
          <t>klopp</t>
        </is>
      </c>
      <c r="F109" t="n">
        <v>124</v>
      </c>
      <c r="G109" s="12" t="n">
        <v>118</v>
      </c>
      <c r="H109" s="12" t="inlineStr">
        <is>
          <t>Klopp</t>
        </is>
      </c>
      <c r="I109" s="3" t="inlineStr">
        <is>
          <t>Liten gangbru av stokker og/eller stein over bekker og elver, i myr eller i fjæra.</t>
        </is>
      </c>
      <c r="J109" s="12" t="inlineStr">
        <is>
          <t>Liten gangbru av stokker og/eller stein over bekker og elver, i myr eller i fjæra</t>
        </is>
      </c>
      <c r="K109" s="1" t="inlineStr"/>
      <c r="L109" s="5" t="inlineStr">
        <is>
          <t>bridge=yes; layer=1</t>
        </is>
      </c>
      <c r="O109" s="5">
        <f>CONCATENATE(Tabell1[[#This Row],[OSM tag]],";",Tabell1[[#This Row],[tillegg]],";",Tabell1[[#This Row],[fixme]])</f>
        <v/>
      </c>
    </row>
    <row customHeight="1" ht="34" r="110">
      <c r="A110" s="12" t="n">
        <v>6</v>
      </c>
      <c r="B110" s="12" t="inlineStr">
        <is>
          <t>infrastruktur</t>
        </is>
      </c>
      <c r="C110" s="12" t="inlineStr">
        <is>
          <t>samferdselsanlegg</t>
        </is>
      </c>
      <c r="D110" s="12" t="n">
        <v>148</v>
      </c>
      <c r="E110" s="7" t="inlineStr">
        <is>
          <t>tunnel</t>
        </is>
      </c>
      <c r="F110" t="n">
        <v>238</v>
      </c>
      <c r="G110" s="12" t="n">
        <v>1216</v>
      </c>
      <c r="H110" s="12" t="inlineStr">
        <is>
          <t>Tunnel</t>
        </is>
      </c>
      <c r="I110" s="2" t="inlineStr">
        <is>
          <t>Vanlig tunnel, rasoverbygg eller undergang. Både på veg og jernbane.</t>
        </is>
      </c>
      <c r="J110" s="14" t="inlineStr">
        <is>
          <t>Vanlig tunnel, rasoverbygg og undergang på gangveg, veg og jernbane. Angi ett punkt i hver ende for lange og ett punkt midt på for korte tunneler.</t>
        </is>
      </c>
      <c r="K110" s="1" t="inlineStr">
        <is>
          <t>"tunnel = yes", 6
"layer = -1", 6
"maxspeed:plus = 85", 3
"electrified = contact_line", 4
"frequency = 16.67", 4
"maxspeed:tilting = 100", 3
"voltage = 15000", 3
"maxspeed:hgv = 80", 3
"gauge = 1435", 4
"surface = paved", 2
"usage = main", 3
"passenger_lines = 1", 3
"railway = rail", 3</t>
        </is>
      </c>
      <c r="L110" s="5" t="inlineStr">
        <is>
          <t>tunnel=yes; layer=-1</t>
        </is>
      </c>
      <c r="O110" s="5">
        <f>CONCATENATE(Tabell1[[#This Row],[OSM tag]],";",Tabell1[[#This Row],[tillegg]],";",Tabell1[[#This Row],[fixme]])</f>
        <v/>
      </c>
    </row>
    <row customHeight="1" ht="17" r="111">
      <c r="A111" s="12" t="n">
        <v>6</v>
      </c>
      <c r="B111" s="12" t="inlineStr">
        <is>
          <t>infrastruktur</t>
        </is>
      </c>
      <c r="C111" s="12" t="inlineStr">
        <is>
          <t>samferdselsanlegg</t>
        </is>
      </c>
      <c r="D111" s="12" t="n">
        <v>150</v>
      </c>
      <c r="E111" s="7" t="inlineStr">
        <is>
          <t>vegbom</t>
        </is>
      </c>
      <c r="F111" t="n">
        <v>11</v>
      </c>
      <c r="G111" s="12" t="n">
        <v>11</v>
      </c>
      <c r="H111" s="12" t="inlineStr">
        <is>
          <t>Vegbom</t>
        </is>
      </c>
      <c r="I111" s="2" t="inlineStr">
        <is>
          <t>Mindre bomanlegg på privat veg.</t>
        </is>
      </c>
      <c r="J111" s="14" t="inlineStr">
        <is>
          <t>Mindre bom/-automat på privat veg</t>
        </is>
      </c>
      <c r="K111" s="1" t="inlineStr"/>
      <c r="L111" s="5" t="inlineStr">
        <is>
          <t>barrier=lift_gate</t>
        </is>
      </c>
      <c r="M111" s="12" t="inlineStr">
        <is>
          <t>place=locality</t>
        </is>
      </c>
      <c r="O111" s="5">
        <f>CONCATENATE(Tabell1[[#This Row],[OSM tag]],";",Tabell1[[#This Row],[tillegg]],";",Tabell1[[#This Row],[fixme]])</f>
        <v/>
      </c>
    </row>
    <row customHeight="1" ht="17" r="112">
      <c r="A112" s="12" t="n">
        <v>6</v>
      </c>
      <c r="B112" s="12" t="inlineStr">
        <is>
          <t>infrastruktur</t>
        </is>
      </c>
      <c r="C112" s="12" t="inlineStr">
        <is>
          <t>samferdselsanlegg</t>
        </is>
      </c>
      <c r="D112" s="12" t="n">
        <v>151</v>
      </c>
      <c r="E112" s="12" t="inlineStr">
        <is>
          <t>bomstasjon</t>
        </is>
      </c>
      <c r="G112" s="12" t="n">
        <v>44</v>
      </c>
      <c r="H112" s="12" t="inlineStr">
        <is>
          <t>Bomstasjon</t>
        </is>
      </c>
      <c r="I112" s="2" t="inlineStr">
        <is>
          <t>Større bomanlegg på offentlig veg.</t>
        </is>
      </c>
      <c r="J112" s="14" t="inlineStr">
        <is>
          <t>Større bomanlegg på offentlig veg</t>
        </is>
      </c>
      <c r="K112" s="5" t="n"/>
      <c r="L112" s="5" t="inlineStr">
        <is>
          <t>barrier=toll_booth</t>
        </is>
      </c>
      <c r="O112" s="5">
        <f>CONCATENATE(Tabell1[[#This Row],[OSM tag]],";",Tabell1[[#This Row],[tillegg]],";",Tabell1[[#This Row],[fixme]])</f>
        <v/>
      </c>
    </row>
    <row customHeight="1" ht="17" r="113">
      <c r="A113" s="12" t="n">
        <v>8</v>
      </c>
      <c r="B113" s="12" t="inlineStr">
        <is>
          <t>infrastruktur</t>
        </is>
      </c>
      <c r="C113" s="12" t="inlineStr">
        <is>
          <t>samferdselsanlegg</t>
        </is>
      </c>
      <c r="D113" s="12" t="n">
        <v>193</v>
      </c>
      <c r="E113" s="12" t="inlineStr">
        <is>
          <t>fjellheis</t>
        </is>
      </c>
      <c r="G113" s="12" t="n">
        <v>4</v>
      </c>
      <c r="H113" s="12" t="inlineStr">
        <is>
          <t>Fjellheis</t>
        </is>
      </c>
      <c r="I113" s="2" t="inlineStr">
        <is>
          <t>Gondolbane og trallebane for frakt av folk.</t>
        </is>
      </c>
      <c r="J113" s="12" t="inlineStr">
        <is>
          <t>Gondolbane for frakt av folk til fjells</t>
        </is>
      </c>
      <c r="K113" s="5" t="n"/>
      <c r="L113" s="5" t="inlineStr">
        <is>
          <t>aerialway=gondola</t>
        </is>
      </c>
      <c r="O113" s="5">
        <f>CONCATENATE(Tabell1[[#This Row],[OSM tag]],";",Tabell1[[#This Row],[tillegg]],";",Tabell1[[#This Row],[fixme]])</f>
        <v/>
      </c>
    </row>
    <row customHeight="1" ht="17" r="114">
      <c r="A114" s="12" t="n">
        <v>5</v>
      </c>
      <c r="B114" s="12" t="inlineStr">
        <is>
          <t>infrastruktur</t>
        </is>
      </c>
      <c r="C114" s="12" t="inlineStr">
        <is>
          <t>samferdselsanlegg</t>
        </is>
      </c>
      <c r="D114" s="12" t="n">
        <v>252</v>
      </c>
      <c r="E114" s="12" t="inlineStr">
        <is>
          <t>garasjeHangarbygg</t>
        </is>
      </c>
      <c r="G114" s="12" t="n">
        <v>3</v>
      </c>
      <c r="H114" s="12" t="inlineStr">
        <is>
          <t>Garasje/hangarbygg</t>
        </is>
      </c>
      <c r="I114" s="2" t="inlineStr">
        <is>
          <t>Trikkestall, bussgarasje, flyhangar eller lokomotivstall.</t>
        </is>
      </c>
      <c r="J114" s="12" t="inlineStr">
        <is>
          <t>Parkeringshus/trikkestall/bussgarasje/flyhangar/lokomotivstall</t>
        </is>
      </c>
      <c r="K114" s="5" t="n"/>
      <c r="L114" s="5" t="inlineStr">
        <is>
          <t>amenity=parking</t>
        </is>
      </c>
      <c r="M114" s="12" t="n"/>
      <c r="O114" s="5">
        <f>CONCATENATE(Tabell1[[#This Row],[OSM tag]],";",Tabell1[[#This Row],[tillegg]],";",Tabell1[[#This Row],[fixme]])</f>
        <v/>
      </c>
    </row>
    <row customHeight="1" ht="34" r="115">
      <c r="A115" s="12" t="n">
        <v>6</v>
      </c>
      <c r="B115" s="12" t="inlineStr">
        <is>
          <t>infrastruktur</t>
        </is>
      </c>
      <c r="C115" s="12" t="inlineStr">
        <is>
          <t>samferdselsanlegg</t>
        </is>
      </c>
      <c r="D115" s="12" t="n">
        <v>278</v>
      </c>
      <c r="E115" s="12" t="inlineStr">
        <is>
          <t>rasteplass</t>
        </is>
      </c>
      <c r="G115" s="12" t="n">
        <v>1</v>
      </c>
      <c r="H115" s="12" t="inlineStr">
        <is>
          <t>Rasteplass</t>
        </is>
      </c>
      <c r="I115" s="2" t="inlineStr">
        <is>
          <t>Rasteplass definert og lagt til rette av Statens vegvesen eller annen offentlig myndighet.</t>
        </is>
      </c>
      <c r="J115" s="12" t="inlineStr">
        <is>
          <t>Rasteplass definert og lagt til rette av Statens vegvesen eller annen offentlig myndighet</t>
        </is>
      </c>
      <c r="K115" s="5" t="n"/>
      <c r="L115" s="5" t="inlineStr">
        <is>
          <t>highway=rest_area</t>
        </is>
      </c>
      <c r="O115" s="5">
        <f>CONCATENATE(Tabell1[[#This Row],[OSM tag]],";",Tabell1[[#This Row],[tillegg]],";",Tabell1[[#This Row],[fixme]])</f>
        <v/>
      </c>
    </row>
    <row customHeight="1" ht="17" r="116">
      <c r="B116" s="12" t="inlineStr">
        <is>
          <t>infrastruktur</t>
        </is>
      </c>
      <c r="C116" s="12" t="inlineStr">
        <is>
          <t>samferdselsanlegg</t>
        </is>
      </c>
      <c r="E116" s="7" t="inlineStr">
        <is>
          <t>taubane</t>
        </is>
      </c>
      <c r="I116" s="2" t="inlineStr">
        <is>
          <t>Heis til frakt av gods/høy, ikke persontrafikk.</t>
        </is>
      </c>
      <c r="J116" s="12" t="n"/>
      <c r="K116" s="5" t="n"/>
      <c r="L116" s="5" t="inlineStr">
        <is>
          <t>aerialway=goods</t>
        </is>
      </c>
      <c r="O116" s="5">
        <f>CONCATENATE(Tabell1[[#This Row],[OSM tag]],";",Tabell1[[#This Row],[tillegg]],";",Tabell1[[#This Row],[fixme]])</f>
        <v/>
      </c>
    </row>
    <row customHeight="1" ht="34" r="117">
      <c r="A117" s="12" t="n">
        <v>6</v>
      </c>
      <c r="B117" s="12" t="inlineStr">
        <is>
          <t>infrastruktur</t>
        </is>
      </c>
      <c r="C117" s="12" t="inlineStr">
        <is>
          <t>sjøfart</t>
        </is>
      </c>
      <c r="D117" s="12" t="n">
        <v>144</v>
      </c>
      <c r="E117" s="12" t="inlineStr">
        <is>
          <t>farledSkipslei</t>
        </is>
      </c>
      <c r="G117" s="12" t="n">
        <v>90</v>
      </c>
      <c r="H117" s="12" t="inlineStr">
        <is>
          <t>Farled/skipslei</t>
        </is>
      </c>
      <c r="I117" s="2" t="inlineStr">
        <is>
          <t>Allment kjent seglingslei/farvannsområde med dybdeforhold passende for skip av en viss størrelse.</t>
        </is>
      </c>
      <c r="J117" s="12" t="inlineStr">
        <is>
          <t>Normal seilingslei for skip, f.eks. Trondheimsleia</t>
        </is>
      </c>
      <c r="K117" s="5" t="n"/>
      <c r="M117" s="5" t="inlineStr">
        <is>
          <t>place=locality</t>
        </is>
      </c>
      <c r="O117" s="5">
        <f>CONCATENATE(Tabell1[[#This Row],[OSM tag]],";",Tabell1[[#This Row],[tillegg]],";",Tabell1[[#This Row],[fixme]])</f>
        <v/>
      </c>
    </row>
    <row customHeight="1" ht="17" r="118">
      <c r="A118" s="12" t="n">
        <v>6</v>
      </c>
      <c r="B118" s="12" t="inlineStr">
        <is>
          <t>infrastruktur</t>
        </is>
      </c>
      <c r="C118" s="12" t="inlineStr">
        <is>
          <t>sjøfart</t>
        </is>
      </c>
      <c r="D118" s="12" t="n">
        <v>145</v>
      </c>
      <c r="E118" s="7" t="inlineStr">
        <is>
          <t>ferjestrekning</t>
        </is>
      </c>
      <c r="G118" s="12" t="n">
        <v>1</v>
      </c>
      <c r="H118" s="12" t="inlineStr">
        <is>
          <t>Ferjestrekning</t>
        </is>
      </c>
      <c r="I118" s="2" t="inlineStr">
        <is>
          <t>Ferjesamband som inngår i områdets samferdselsnett.</t>
        </is>
      </c>
      <c r="J118" s="12" t="inlineStr">
        <is>
          <t>Ferjesamband som inngår i områdets samferdselsnett</t>
        </is>
      </c>
      <c r="K118" s="5" t="n"/>
      <c r="M118" s="12" t="inlineStr">
        <is>
          <t>place=locality</t>
        </is>
      </c>
      <c r="O118" s="5">
        <f>CONCATENATE(Tabell1[[#This Row],[OSM tag]],";",Tabell1[[#This Row],[tillegg]],";",Tabell1[[#This Row],[fixme]])</f>
        <v/>
      </c>
      <c r="P118" s="5" t="inlineStr">
        <is>
          <t>One historic ferry place in Bygland ...</t>
        </is>
      </c>
    </row>
    <row customHeight="1" ht="17" r="119">
      <c r="A119" s="12" t="n">
        <v>6</v>
      </c>
      <c r="B119" s="12" t="inlineStr">
        <is>
          <t>infrastruktur</t>
        </is>
      </c>
      <c r="C119" s="12" t="inlineStr">
        <is>
          <t>sjøfart</t>
        </is>
      </c>
      <c r="D119" s="12" t="n">
        <v>154</v>
      </c>
      <c r="E119" s="12" t="inlineStr">
        <is>
          <t>kai</t>
        </is>
      </c>
      <c r="F119" t="n">
        <v>461</v>
      </c>
      <c r="G119" s="12" t="n">
        <v>341</v>
      </c>
      <c r="H119" s="12" t="inlineStr">
        <is>
          <t>Kai</t>
        </is>
      </c>
      <c r="I119" s="2" t="inlineStr">
        <is>
          <t>Større, fastbygd bryggeanlegg.</t>
        </is>
      </c>
      <c r="J119" s="14" t="inlineStr">
        <is>
          <t>Større, fastbygd bryggeanlegg</t>
        </is>
      </c>
      <c r="K119" s="1" t="inlineStr">
        <is>
          <t>"man_made = quay", 4</t>
        </is>
      </c>
      <c r="L119" s="5" t="inlineStr">
        <is>
          <t>man_made=quay</t>
        </is>
      </c>
      <c r="M119" s="12" t="inlineStr">
        <is>
          <t>place=locality</t>
        </is>
      </c>
      <c r="O119" s="5">
        <f>CONCATENATE(Tabell1[[#This Row],[OSM tag]],";",Tabell1[[#This Row],[tillegg]],";",Tabell1[[#This Row],[fixme]])</f>
        <v/>
      </c>
      <c r="P119" s="5" t="inlineStr">
        <is>
          <t>Mostly quays rather than piers</t>
        </is>
      </c>
    </row>
    <row customHeight="1" ht="17" r="120">
      <c r="A120" s="12" t="n">
        <v>6</v>
      </c>
      <c r="B120" s="12" t="inlineStr">
        <is>
          <t>infrastruktur</t>
        </is>
      </c>
      <c r="C120" s="12" t="inlineStr">
        <is>
          <t>sjøfart</t>
        </is>
      </c>
      <c r="D120" s="12" t="n">
        <v>155</v>
      </c>
      <c r="E120" s="7" t="inlineStr">
        <is>
          <t>brygge</t>
        </is>
      </c>
      <c r="F120" t="n">
        <v>459</v>
      </c>
      <c r="G120" s="12" t="n">
        <v>407</v>
      </c>
      <c r="H120" s="12" t="inlineStr">
        <is>
          <t>Brygge</t>
        </is>
      </c>
      <c r="I120" s="2" t="inlineStr">
        <is>
          <t>Mindre, fastbygd bryggeanlegg.</t>
        </is>
      </c>
      <c r="J120" s="14" t="inlineStr">
        <is>
          <t>Mindre, fastbygd bryggeanlegg</t>
        </is>
      </c>
      <c r="K120" s="1" t="inlineStr">
        <is>
          <t>"man_made = quay", 15
"place = locality", 18
"place = isolated_dwelling", 2
"natural = coastline", 4</t>
        </is>
      </c>
      <c r="L120" s="5" t="inlineStr">
        <is>
          <t>man_made=quay</t>
        </is>
      </c>
      <c r="M120" s="12" t="inlineStr">
        <is>
          <t>place=locality</t>
        </is>
      </c>
      <c r="O120" s="5">
        <f>CONCATENATE(Tabell1[[#This Row],[OSM tag]],";",Tabell1[[#This Row],[tillegg]],";",Tabell1[[#This Row],[fixme]])</f>
        <v/>
      </c>
      <c r="P120" s="5" t="inlineStr">
        <is>
          <t>Mostly quays rather than piers</t>
        </is>
      </c>
    </row>
    <row customHeight="1" ht="17" r="121">
      <c r="A121" s="12" t="n">
        <v>6</v>
      </c>
      <c r="B121" s="12" t="inlineStr">
        <is>
          <t>infrastruktur</t>
        </is>
      </c>
      <c r="C121" s="12" t="inlineStr">
        <is>
          <t>sjøfart</t>
        </is>
      </c>
      <c r="D121" s="12" t="n">
        <v>156</v>
      </c>
      <c r="E121" s="12" t="inlineStr">
        <is>
          <t>ferjekai</t>
        </is>
      </c>
      <c r="G121" s="12" t="n">
        <v>160</v>
      </c>
      <c r="H121" s="12" t="inlineStr">
        <is>
          <t>Ferjekai</t>
        </is>
      </c>
      <c r="I121" s="2" t="inlineStr">
        <is>
          <t>Ferjekai i fast regulert ferjesamband.</t>
        </is>
      </c>
      <c r="J121" s="14" t="inlineStr">
        <is>
          <t>Punktet/koordinaten legges på ferjelemmen på kaia</t>
        </is>
      </c>
      <c r="K121" s="5" t="n"/>
      <c r="L121" s="5" t="inlineStr">
        <is>
          <t>amenity=ferry_terminal</t>
        </is>
      </c>
      <c r="O121" s="5">
        <f>CONCATENATE(Tabell1[[#This Row],[OSM tag]],";",Tabell1[[#This Row],[tillegg]],";",Tabell1[[#This Row],[fixme]])</f>
        <v/>
      </c>
    </row>
    <row customHeight="1" ht="17" r="122">
      <c r="A122" s="12" t="n">
        <v>6</v>
      </c>
      <c r="B122" s="12" t="inlineStr">
        <is>
          <t>infrastruktur</t>
        </is>
      </c>
      <c r="C122" s="12" t="inlineStr">
        <is>
          <t>sjøfart</t>
        </is>
      </c>
      <c r="D122" s="12" t="n">
        <v>157</v>
      </c>
      <c r="E122" s="7" t="inlineStr">
        <is>
          <t>utstikker</t>
        </is>
      </c>
      <c r="G122" s="12" t="n">
        <v>5</v>
      </c>
      <c r="H122" s="12" t="inlineStr">
        <is>
          <t>Utstikker</t>
        </is>
      </c>
      <c r="I122" s="2" t="inlineStr">
        <is>
          <t>Flytende bryggeanlegg.</t>
        </is>
      </c>
      <c r="J122" s="14" t="inlineStr">
        <is>
          <t>Fast byggverk, utstikkende voll i sjøen</t>
        </is>
      </c>
      <c r="K122" s="5" t="n"/>
      <c r="L122" s="5" t="inlineStr">
        <is>
          <t>man_made=pier</t>
        </is>
      </c>
      <c r="M122" s="12" t="inlineStr">
        <is>
          <t>place=locality</t>
        </is>
      </c>
      <c r="O122" s="5">
        <f>CONCATENATE(Tabell1[[#This Row],[OSM tag]],";",Tabell1[[#This Row],[tillegg]],";",Tabell1[[#This Row],[fixme]])</f>
        <v/>
      </c>
    </row>
    <row customHeight="1" ht="17" r="123">
      <c r="A123" s="12" t="n">
        <v>6</v>
      </c>
      <c r="B123" s="12" t="inlineStr">
        <is>
          <t>infrastruktur</t>
        </is>
      </c>
      <c r="C123" s="12" t="inlineStr">
        <is>
          <t>sjøfart</t>
        </is>
      </c>
      <c r="D123" s="12" t="n">
        <v>158</v>
      </c>
      <c r="E123" s="12" t="inlineStr">
        <is>
          <t>sluse</t>
        </is>
      </c>
      <c r="G123" s="12" t="n">
        <v>12</v>
      </c>
      <c r="H123" s="12" t="inlineStr">
        <is>
          <t>Sluse</t>
        </is>
      </c>
      <c r="I123" s="2" t="inlineStr">
        <is>
          <t>Kunstig løfteanretning for båter i vassdrag.</t>
        </is>
      </c>
      <c r="J123" s="14" t="inlineStr">
        <is>
          <t>Kunstig løfteanretning for båter i vassdrag</t>
        </is>
      </c>
      <c r="K123" s="5" t="n"/>
      <c r="L123" s="5" t="inlineStr">
        <is>
          <t>waterway=lock_gate</t>
        </is>
      </c>
      <c r="O123" s="5">
        <f>CONCATENATE(Tabell1[[#This Row],[OSM tag]],";",Tabell1[[#This Row],[tillegg]],";",Tabell1[[#This Row],[fixme]])</f>
        <v/>
      </c>
    </row>
    <row customHeight="1" ht="17" r="124">
      <c r="A124" s="12" t="n">
        <v>6</v>
      </c>
      <c r="B124" s="12" t="inlineStr">
        <is>
          <t>infrastruktur</t>
        </is>
      </c>
      <c r="C124" s="12" t="inlineStr">
        <is>
          <t>sjøfart</t>
        </is>
      </c>
      <c r="D124" s="12" t="n">
        <v>159</v>
      </c>
      <c r="E124" s="12" t="inlineStr">
        <is>
          <t>kanal</t>
        </is>
      </c>
      <c r="F124" t="n">
        <v>73</v>
      </c>
      <c r="G124" s="12" t="n">
        <v>64</v>
      </c>
      <c r="H124" s="12" t="inlineStr">
        <is>
          <t>Kanal</t>
        </is>
      </c>
      <c r="I124" s="2" t="inlineStr">
        <is>
          <t>Kunstig eller naturlig vannvei eller gjennomseiling.</t>
        </is>
      </c>
      <c r="J124" s="14" t="inlineStr">
        <is>
          <t>Utgravd vannveg i sjø og ferskvann F.eks. opplagsplass for store båter/skip</t>
        </is>
      </c>
      <c r="K124" s="1" t="inlineStr">
        <is>
          <t>"waterway = canal", 2
"natural = bay", 2</t>
        </is>
      </c>
      <c r="L124" s="5" t="inlineStr">
        <is>
          <t>waterway=canal</t>
        </is>
      </c>
      <c r="O124" s="5">
        <f>CONCATENATE(Tabell1[[#This Row],[OSM tag]],";",Tabell1[[#This Row],[tillegg]],";",Tabell1[[#This Row],[fixme]])</f>
        <v/>
      </c>
    </row>
    <row customHeight="1" ht="17" r="125">
      <c r="A125" s="12" t="n">
        <v>6</v>
      </c>
      <c r="B125" s="12" t="inlineStr">
        <is>
          <t>infrastruktur</t>
        </is>
      </c>
      <c r="C125" s="12" t="inlineStr">
        <is>
          <t>sjøfart</t>
        </is>
      </c>
      <c r="D125" s="12" t="n">
        <v>160</v>
      </c>
      <c r="E125" s="12" t="inlineStr">
        <is>
          <t>ankringsplass</t>
        </is>
      </c>
      <c r="G125" s="12" t="n">
        <v>35</v>
      </c>
      <c r="H125" s="12" t="inlineStr">
        <is>
          <t>Ankringsplass</t>
        </is>
      </c>
      <c r="I125" s="2" t="inlineStr">
        <is>
          <t>Opplagsplass for store fartøy.</t>
        </is>
      </c>
      <c r="J125" s="14" t="inlineStr">
        <is>
          <t>For eksempel opplagsplass for store båter/skip</t>
        </is>
      </c>
      <c r="K125" s="5" t="n"/>
      <c r="M125" s="12" t="inlineStr">
        <is>
          <t>place=locality</t>
        </is>
      </c>
      <c r="O125" s="5">
        <f>CONCATENATE(Tabell1[[#This Row],[OSM tag]],";",Tabell1[[#This Row],[tillegg]],";",Tabell1[[#This Row],[fixme]])</f>
        <v/>
      </c>
    </row>
    <row customHeight="1" ht="17" r="126">
      <c r="A126" s="12" t="n">
        <v>8</v>
      </c>
      <c r="B126" s="12" t="inlineStr">
        <is>
          <t>infrastruktur</t>
        </is>
      </c>
      <c r="C126" s="12" t="inlineStr">
        <is>
          <t>sjøfart</t>
        </is>
      </c>
      <c r="D126" s="12" t="n">
        <v>195</v>
      </c>
      <c r="E126" s="12" t="inlineStr">
        <is>
          <t>småbåthavn</t>
        </is>
      </c>
      <c r="F126" t="n">
        <v>81</v>
      </c>
      <c r="G126" s="12" t="n">
        <v>65</v>
      </c>
      <c r="H126" s="12" t="inlineStr">
        <is>
          <t>Småbåthavn</t>
        </is>
      </c>
      <c r="I126" s="2" t="inlineStr">
        <is>
          <t>Regulert havneanlegg for småbåter.</t>
        </is>
      </c>
      <c r="J126" s="12" t="inlineStr">
        <is>
          <t>Regulert havneanlegg for småbåter</t>
        </is>
      </c>
      <c r="K126" s="1" t="inlineStr">
        <is>
          <t>"natural = beach", 2
"leisure = marina", 3
"place = locality", 2
"surface = sand", 2</t>
        </is>
      </c>
      <c r="L126" s="5" t="inlineStr">
        <is>
          <t>leisure=marina</t>
        </is>
      </c>
      <c r="O126" s="5">
        <f>CONCATENATE(Tabell1[[#This Row],[OSM tag]],";",Tabell1[[#This Row],[tillegg]],";",Tabell1[[#This Row],[fixme]])</f>
        <v/>
      </c>
      <c r="P126" s="5" t="inlineStr">
        <is>
          <t>Mostly historic slipways and small shipyards?</t>
        </is>
      </c>
    </row>
    <row customHeight="1" ht="17" r="127">
      <c r="A127" s="12" t="n">
        <v>6</v>
      </c>
      <c r="B127" s="12" t="inlineStr">
        <is>
          <t>infrastruktur</t>
        </is>
      </c>
      <c r="C127" s="12" t="inlineStr">
        <is>
          <t>sjøfart</t>
        </is>
      </c>
      <c r="D127" s="12" t="n">
        <v>221</v>
      </c>
      <c r="E127" s="12" t="inlineStr">
        <is>
          <t>havn</t>
        </is>
      </c>
      <c r="F127" t="n">
        <v>202</v>
      </c>
      <c r="G127" s="12" t="n">
        <v>188</v>
      </c>
      <c r="H127" s="12" t="inlineStr">
        <is>
          <t>Havn</t>
        </is>
      </c>
      <c r="I127" s="2" t="inlineStr">
        <is>
          <t>Sted der fartøy laster, losser eller søker ly for vær og sjø.</t>
        </is>
      </c>
      <c r="J127" s="12" t="inlineStr">
        <is>
          <t>Sted der fartøy laster, losser eller søker ly for vær og sjø</t>
        </is>
      </c>
      <c r="K127" s="1" t="inlineStr">
        <is>
          <t>"leisure = marina", 2
"place = locality", 3
"seamark:type = harbour", 3
"landuse = harbour", 3</t>
        </is>
      </c>
      <c r="L127" s="5" t="inlineStr">
        <is>
          <t>landuse=harbour; seamark:type=harbour</t>
        </is>
      </c>
      <c r="M127" s="12" t="n"/>
      <c r="O127" s="5">
        <f>CONCATENATE(Tabell1[[#This Row],[OSM tag]],";",Tabell1[[#This Row],[tillegg]],";",Tabell1[[#This Row],[fixme]])</f>
        <v/>
      </c>
    </row>
    <row customHeight="1" ht="34" r="128">
      <c r="A128" s="12" t="n">
        <v>8</v>
      </c>
      <c r="B128" s="12" t="inlineStr">
        <is>
          <t>infrastruktur</t>
        </is>
      </c>
      <c r="C128" s="12" t="inlineStr">
        <is>
          <t>sjøfart</t>
        </is>
      </c>
      <c r="D128" s="12" t="n">
        <v>234</v>
      </c>
      <c r="E128" s="12" t="inlineStr">
        <is>
          <t>stø</t>
        </is>
      </c>
      <c r="F128" t="n">
        <v>469</v>
      </c>
      <c r="G128" s="12" t="n">
        <v>400</v>
      </c>
      <c r="H128" s="12" t="inlineStr">
        <is>
          <t>Stø</t>
        </is>
      </c>
      <c r="I128" s="2" t="inlineStr">
        <is>
          <t>Båtplass i vannkanten uten naust.</t>
        </is>
      </c>
      <c r="J128" s="12" t="inlineStr">
        <is>
          <t>Båtstø, båtplass (uten naust) i vannkanten</t>
        </is>
      </c>
      <c r="K128" s="1" t="inlineStr">
        <is>
          <t>"mooring = yes", 4
"place = locality", 91
"historic = yes", 89</t>
        </is>
      </c>
      <c r="L128" s="5" t="inlineStr">
        <is>
          <t>mooring=yes</t>
        </is>
      </c>
      <c r="M128" s="12" t="inlineStr">
        <is>
          <t>place=locality</t>
        </is>
      </c>
      <c r="N128" s="5" t="inlineStr">
        <is>
          <t>fixme=verify maritime location</t>
        </is>
      </c>
      <c r="O128" s="5">
        <f>CONCATENATE(Tabell1[[#This Row],[OSM tag]],";",Tabell1[[#This Row],[tillegg]],";",Tabell1[[#This Row],[fixme]])</f>
        <v/>
      </c>
      <c r="P128" s="5" t="inlineStr">
        <is>
          <t>Also used for "sto" (historic resting place for cattle), so check</t>
        </is>
      </c>
    </row>
    <row customHeight="1" ht="17" r="129">
      <c r="A129" s="12" t="n">
        <v>6</v>
      </c>
      <c r="B129" s="12" t="inlineStr">
        <is>
          <t>infrastruktur</t>
        </is>
      </c>
      <c r="C129" s="12" t="inlineStr">
        <is>
          <t>sjøfart</t>
        </is>
      </c>
      <c r="D129" s="12" t="n">
        <v>236</v>
      </c>
      <c r="E129" s="12" t="inlineStr">
        <is>
          <t>molo</t>
        </is>
      </c>
      <c r="G129" s="12" t="n">
        <v>36</v>
      </c>
      <c r="H129" s="12" t="inlineStr">
        <is>
          <t>Molo</t>
        </is>
      </c>
      <c r="I129" s="2" t="inlineStr">
        <is>
          <t>Fast byggverk, utstikkende voll i sjøen.</t>
        </is>
      </c>
      <c r="J129" s="12" t="inlineStr">
        <is>
          <t>Flytende bryggeanlegg</t>
        </is>
      </c>
      <c r="K129" s="5" t="n"/>
      <c r="L129" s="9" t="inlineStr">
        <is>
          <t>man_made=breakwater</t>
        </is>
      </c>
      <c r="M129" s="12" t="inlineStr">
        <is>
          <t>place=locality</t>
        </is>
      </c>
      <c r="O129" s="5">
        <f>CONCATENATE(Tabell1[[#This Row],[OSM tag]],";",Tabell1[[#This Row],[tillegg]],";",Tabell1[[#This Row],[fixme]])</f>
        <v/>
      </c>
      <c r="P129" s="5" t="inlineStr">
        <is>
          <t>A molo is drawn as coastline</t>
        </is>
      </c>
    </row>
    <row customHeight="1" ht="34" r="130">
      <c r="A130" s="12" t="n">
        <v>6</v>
      </c>
      <c r="B130" s="12" t="inlineStr">
        <is>
          <t>infrastruktur</t>
        </is>
      </c>
      <c r="C130" s="12" t="inlineStr">
        <is>
          <t>veg</t>
        </is>
      </c>
      <c r="D130" s="12" t="n">
        <v>140</v>
      </c>
      <c r="E130" s="12" t="inlineStr">
        <is>
          <t>adressenavn</t>
        </is>
      </c>
      <c r="F130" t="n">
        <v>5663</v>
      </c>
      <c r="G130" s="12" t="n">
        <v>24621</v>
      </c>
      <c r="H130" s="12" t="inlineStr">
        <is>
          <t>Adressenavn (veg/gate)</t>
        </is>
      </c>
      <c r="I130" s="2" t="inlineStr">
        <is>
          <t>Offisielt adressenavn, veg-/gatenavn eller områdenavn, jf. § 2 bokstav e i matrikkelforskriften.</t>
        </is>
      </c>
      <c r="J130" s="12" t="inlineStr">
        <is>
          <t>Offisielt adressenavn (veg-/gatenavn), jf. § 2 bokstav e i   matrikkelforskriften. Bruk ellers kode 240 Vegstrekning.</t>
        </is>
      </c>
      <c r="K130" s="1" t="inlineStr">
        <is>
          <t>"natural = coastline", 2
"place = islet", 2</t>
        </is>
      </c>
      <c r="O130" s="5">
        <f>CONCATENATE(Tabell1[[#This Row],[OSM tag]],";",Tabell1[[#This Row],[tillegg]],";",Tabell1[[#This Row],[fixme]])</f>
        <v/>
      </c>
      <c r="P130" s="5" t="inlineStr">
        <is>
          <t>Mostly street names, import from Elveg</t>
        </is>
      </c>
    </row>
    <row customHeight="1" ht="34" r="131">
      <c r="A131" s="12" t="n">
        <v>6</v>
      </c>
      <c r="B131" s="12" t="inlineStr">
        <is>
          <t>infrastruktur</t>
        </is>
      </c>
      <c r="C131" s="12" t="inlineStr">
        <is>
          <t>veg</t>
        </is>
      </c>
      <c r="D131" s="12" t="n">
        <v>142</v>
      </c>
      <c r="E131" s="7" t="inlineStr">
        <is>
          <t>traktorveg</t>
        </is>
      </c>
      <c r="F131" t="n">
        <v>791</v>
      </c>
      <c r="G131" s="12" t="n">
        <v>729</v>
      </c>
      <c r="H131" s="12" t="inlineStr">
        <is>
          <t>Traktorveg</t>
        </is>
      </c>
      <c r="I131" s="2" t="inlineStr">
        <is>
          <t>Driftsveg anlagt for traktorbruk. Ikke fremkommelig med vanlig personbil.</t>
        </is>
      </c>
      <c r="J131" s="12" t="inlineStr">
        <is>
          <t>Driftsveg for kjøretøy som ikke kan kjøres med vanlig bil</t>
        </is>
      </c>
      <c r="K131" s="1" t="inlineStr">
        <is>
          <t>"tracktype = grade4", 3
"tracktype = grade3", 2
"place = locality", 2
"highway = path", 3
"highway = track", 8</t>
        </is>
      </c>
      <c r="L131" s="9" t="inlineStr">
        <is>
          <t>highway=track</t>
        </is>
      </c>
      <c r="N131" s="5" t="inlineStr">
        <is>
          <t>fixme=consider highway=path</t>
        </is>
      </c>
      <c r="O131" s="5">
        <f>CONCATENATE(Tabell1[[#This Row],[OSM tag]],";",Tabell1[[#This Row],[tillegg]],";",Tabell1[[#This Row],[fixme]])</f>
        <v/>
      </c>
    </row>
    <row customHeight="1" ht="17" r="132">
      <c r="A132" s="12" t="n">
        <v>6</v>
      </c>
      <c r="B132" s="12" t="inlineStr">
        <is>
          <t>infrastruktur</t>
        </is>
      </c>
      <c r="C132" s="12" t="inlineStr">
        <is>
          <t>veg</t>
        </is>
      </c>
      <c r="D132" s="12" t="n">
        <v>143</v>
      </c>
      <c r="E132" s="7" t="inlineStr">
        <is>
          <t>sti</t>
        </is>
      </c>
      <c r="F132" t="n">
        <v>4393</v>
      </c>
      <c r="G132" s="12" t="n">
        <v>4064</v>
      </c>
      <c r="H132" s="12" t="inlineStr">
        <is>
          <t>Sti</t>
        </is>
      </c>
      <c r="I132" s="2" t="inlineStr">
        <is>
          <t>Stistrekning, råk, slepe (gammel drifteveg), reindriftsveg.</t>
        </is>
      </c>
      <c r="J132" s="12" t="inlineStr">
        <is>
          <t>Stistrekning, råk, slepe (gammel drifteveg), reindriftsveg</t>
        </is>
      </c>
      <c r="K132" s="1" t="inlineStr">
        <is>
          <t>"trail_visibility = excellent", 2
"sac_scale = hiking", 4
"place = locality", 4
"highway = path", 24</t>
        </is>
      </c>
      <c r="L132" s="9" t="inlineStr">
        <is>
          <t>highway=path</t>
        </is>
      </c>
      <c r="O132" s="5">
        <f>CONCATENATE(Tabell1[[#This Row],[OSM tag]],";",Tabell1[[#This Row],[tillegg]],";",Tabell1[[#This Row],[fixme]])</f>
        <v/>
      </c>
    </row>
    <row customHeight="1" ht="17" r="133">
      <c r="A133" s="12" t="n">
        <v>6</v>
      </c>
      <c r="B133" s="12" t="inlineStr">
        <is>
          <t>infrastruktur</t>
        </is>
      </c>
      <c r="C133" s="12" t="inlineStr">
        <is>
          <t>veg</t>
        </is>
      </c>
      <c r="D133" s="12" t="n">
        <v>149</v>
      </c>
      <c r="E133" s="7" t="inlineStr">
        <is>
          <t>vegkryss</t>
        </is>
      </c>
      <c r="F133" t="n">
        <v>747</v>
      </c>
      <c r="G133" s="12" t="n">
        <v>673</v>
      </c>
      <c r="H133" s="12" t="inlineStr">
        <is>
          <t>Vegkryss (veg/gate)</t>
        </is>
      </c>
      <c r="I133" s="2" t="inlineStr">
        <is>
          <t>Allment kjent vegkryss i alle typer veger og gater.</t>
        </is>
      </c>
      <c r="J133" s="15" t="inlineStr">
        <is>
          <t>For alle typer veger/gater både offisielle kryssnavn eller lokale navn på offentlige eller private veger, for eksempel Sinsenkrysset, Sluppen.</t>
        </is>
      </c>
      <c r="K133" s="1" t="inlineStr">
        <is>
          <t>"junction = yes", 5
"place = locality", 5
"highway = service", 2</t>
        </is>
      </c>
      <c r="L133" s="2" t="inlineStr">
        <is>
          <t>junction=yes</t>
        </is>
      </c>
      <c r="M133" s="12" t="inlineStr">
        <is>
          <t>place=locality</t>
        </is>
      </c>
      <c r="O133" s="5">
        <f>CONCATENATE(Tabell1[[#This Row],[OSM tag]],";",Tabell1[[#This Row],[tillegg]],";",Tabell1[[#This Row],[fixme]])</f>
        <v/>
      </c>
    </row>
    <row customHeight="1" ht="17" r="134">
      <c r="A134" s="12" t="n">
        <v>6</v>
      </c>
      <c r="B134" s="12" t="inlineStr">
        <is>
          <t>infrastruktur</t>
        </is>
      </c>
      <c r="C134" s="12" t="inlineStr">
        <is>
          <t>veg</t>
        </is>
      </c>
      <c r="D134" s="12" t="n">
        <v>152</v>
      </c>
      <c r="E134" s="12" t="inlineStr">
        <is>
          <t>grind</t>
        </is>
      </c>
      <c r="F134" t="n">
        <v>81</v>
      </c>
      <c r="G134" s="12" t="n">
        <v>70</v>
      </c>
      <c r="H134" s="12" t="inlineStr">
        <is>
          <t>Grind</t>
        </is>
      </c>
      <c r="I134" s="2" t="inlineStr">
        <is>
          <t>Port i gjerde.</t>
        </is>
      </c>
      <c r="J134" s="14" t="inlineStr">
        <is>
          <t>Port i gjerde</t>
        </is>
      </c>
      <c r="K134" s="1" t="inlineStr"/>
      <c r="L134" s="9" t="n"/>
      <c r="M134" s="12" t="inlineStr">
        <is>
          <t>place=locality</t>
        </is>
      </c>
      <c r="O134" s="5">
        <f>CONCATENATE(Tabell1[[#This Row],[OSM tag]],";",Tabell1[[#This Row],[tillegg]],";",Tabell1[[#This Row],[fixme]])</f>
        <v/>
      </c>
      <c r="P134" s="5" t="inlineStr">
        <is>
          <t>Historic name, physical barrier rarely present</t>
        </is>
      </c>
    </row>
    <row customHeight="1" ht="17" r="135">
      <c r="A135" s="12" t="n">
        <v>6</v>
      </c>
      <c r="B135" s="12" t="inlineStr">
        <is>
          <t>infrastruktur</t>
        </is>
      </c>
      <c r="C135" s="12" t="inlineStr">
        <is>
          <t>veg</t>
        </is>
      </c>
      <c r="D135" s="12" t="n">
        <v>153</v>
      </c>
      <c r="E135" s="12" t="inlineStr">
        <is>
          <t>parkeringsplass</t>
        </is>
      </c>
      <c r="G135" s="12" t="n">
        <v>18</v>
      </c>
      <c r="H135" s="12" t="inlineStr">
        <is>
          <t>Parkeringsplass</t>
        </is>
      </c>
      <c r="I135" s="2" t="inlineStr">
        <is>
          <t>Tomt (eller bygning) for parkering av biler.</t>
        </is>
      </c>
      <c r="J135" s="14" t="inlineStr">
        <is>
          <t>Offentlig og privat</t>
        </is>
      </c>
      <c r="K135" s="5" t="n"/>
      <c r="L135" s="5" t="inlineStr">
        <is>
          <t>amenity=parking</t>
        </is>
      </c>
      <c r="O135" s="5">
        <f>CONCATENATE(Tabell1[[#This Row],[OSM tag]],";",Tabell1[[#This Row],[tillegg]],";",Tabell1[[#This Row],[fixme]])</f>
        <v/>
      </c>
    </row>
    <row customHeight="1" ht="17" r="136">
      <c r="A136" s="12" t="n">
        <v>6</v>
      </c>
      <c r="B136" s="12" t="inlineStr">
        <is>
          <t>infrastruktur</t>
        </is>
      </c>
      <c r="C136" s="12" t="inlineStr">
        <is>
          <t>veg</t>
        </is>
      </c>
      <c r="D136" s="12" t="n">
        <v>163</v>
      </c>
      <c r="E136" s="12" t="inlineStr">
        <is>
          <t>busstopp</t>
        </is>
      </c>
      <c r="G136" s="12" t="n">
        <v>185</v>
      </c>
      <c r="H136" s="12" t="inlineStr">
        <is>
          <t>Busstopp</t>
        </is>
      </c>
      <c r="I136" s="2" t="inlineStr">
        <is>
          <t>Stoppested for rutegående vegtrafikk.</t>
        </is>
      </c>
      <c r="J136" s="12" t="inlineStr">
        <is>
          <t>Stoppested for rutegående vegtrafikk</t>
        </is>
      </c>
      <c r="K136" s="5" t="n"/>
      <c r="L136" s="5" t="inlineStr">
        <is>
          <t>highway=bus_stop</t>
        </is>
      </c>
      <c r="O136" s="5">
        <f>CONCATENATE(Tabell1[[#This Row],[OSM tag]],";",Tabell1[[#This Row],[tillegg]],";",Tabell1[[#This Row],[fixme]])</f>
        <v/>
      </c>
    </row>
    <row customHeight="1" ht="34" r="137">
      <c r="A137" s="12" t="n">
        <v>6</v>
      </c>
      <c r="B137" s="12" t="inlineStr">
        <is>
          <t>infrastruktur</t>
        </is>
      </c>
      <c r="C137" s="12" t="inlineStr">
        <is>
          <t>veg</t>
        </is>
      </c>
      <c r="D137" s="12" t="n">
        <v>220</v>
      </c>
      <c r="E137" s="7" t="inlineStr">
        <is>
          <t>vad</t>
        </is>
      </c>
      <c r="F137" t="n">
        <v>860</v>
      </c>
      <c r="G137" s="12" t="n">
        <v>788</v>
      </c>
      <c r="H137" s="12" t="inlineStr">
        <is>
          <t>Vad</t>
        </is>
      </c>
      <c r="I137" s="2" t="inlineStr">
        <is>
          <t>Vadested, vanligvis der en stistrekning krysser elv, bekk eller vann.</t>
        </is>
      </c>
      <c r="J137" s="12" t="inlineStr">
        <is>
          <t>Grunt (vade)sted i elv, bekk, vann eller sjø</t>
        </is>
      </c>
      <c r="K137" s="1" t="inlineStr">
        <is>
          <t>"ford = yes", 6
"place = locality", 5</t>
        </is>
      </c>
      <c r="L137" s="2" t="inlineStr">
        <is>
          <t>ford=yes</t>
        </is>
      </c>
      <c r="M137" s="12" t="inlineStr">
        <is>
          <t>place=locality</t>
        </is>
      </c>
      <c r="O137" s="5">
        <f>CONCATENATE(Tabell1[[#This Row],[OSM tag]],";",Tabell1[[#This Row],[tillegg]],";",Tabell1[[#This Row],[fixme]])</f>
        <v/>
      </c>
      <c r="P137" s="5" t="inlineStr">
        <is>
          <t>Simpler to tag a node (intersection between waterway and highway)</t>
        </is>
      </c>
    </row>
    <row customHeight="1" ht="17" r="138">
      <c r="A138" s="12" t="n">
        <v>3</v>
      </c>
      <c r="B138" s="12" t="inlineStr">
        <is>
          <t>infrastruktur</t>
        </is>
      </c>
      <c r="C138" s="12" t="inlineStr">
        <is>
          <t>veg</t>
        </is>
      </c>
      <c r="D138" s="12" t="n">
        <v>227</v>
      </c>
      <c r="E138" s="7" t="inlineStr">
        <is>
          <t>tømmervelte</t>
        </is>
      </c>
      <c r="F138" t="n">
        <v>285</v>
      </c>
      <c r="G138" s="12" t="n">
        <v>261</v>
      </c>
      <c r="H138" s="12" t="inlineStr">
        <is>
          <t>Tømmervelte</t>
        </is>
      </c>
      <c r="I138" s="2" t="inlineStr">
        <is>
          <t>Midlertidig lagringsplass for tømmer.</t>
        </is>
      </c>
      <c r="J138" s="12" t="inlineStr">
        <is>
          <t>Midlertidig lagringsplass for tømmer</t>
        </is>
      </c>
      <c r="K138" s="1" t="inlineStr"/>
      <c r="M138" s="12" t="inlineStr">
        <is>
          <t>place=locality</t>
        </is>
      </c>
      <c r="O138" s="5">
        <f>CONCATENATE(Tabell1[[#This Row],[OSM tag]],";",Tabell1[[#This Row],[tillegg]],";",Tabell1[[#This Row],[fixme]])</f>
        <v/>
      </c>
    </row>
    <row customHeight="1" ht="51" r="139">
      <c r="A139" s="12" t="n">
        <v>6</v>
      </c>
      <c r="B139" s="12" t="inlineStr">
        <is>
          <t>infrastruktur</t>
        </is>
      </c>
      <c r="C139" s="12" t="inlineStr">
        <is>
          <t>veg</t>
        </is>
      </c>
      <c r="D139" s="12" t="n">
        <v>240</v>
      </c>
      <c r="E139" s="7" t="inlineStr">
        <is>
          <t>vegstrekning</t>
        </is>
      </c>
      <c r="F139" t="n">
        <v>1049</v>
      </c>
      <c r="G139" s="12" t="n">
        <v>792</v>
      </c>
      <c r="H139" s="12" t="inlineStr">
        <is>
          <t>Vegstrekning</t>
        </is>
      </c>
      <c r="I139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39" s="12" t="inlineStr">
        <is>
          <t>Fjellovergang, turiststrekning, uoffisielt vegnavn. Eks. Kvænangsfjellet, Gamle Bynesveg, Friisvegen</t>
        </is>
      </c>
      <c r="K139" s="1" t="inlineStr"/>
      <c r="L139" s="9" t="n"/>
      <c r="O139" s="5">
        <f>CONCATENATE(Tabell1[[#This Row],[OSM tag]],";",Tabell1[[#This Row],[tillegg]],";",Tabell1[[#This Row],[fixme]])</f>
        <v/>
      </c>
      <c r="P139" s="5" t="inlineStr">
        <is>
          <t>Mostly street names, import from Elveg</t>
        </is>
      </c>
    </row>
    <row customHeight="1" ht="51" r="140">
      <c r="A140" s="12" t="n">
        <v>6</v>
      </c>
      <c r="B140" s="12" t="inlineStr">
        <is>
          <t>infrastruktur</t>
        </is>
      </c>
      <c r="C140" s="12" t="inlineStr">
        <is>
          <t>veg</t>
        </is>
      </c>
      <c r="D140" s="12" t="n">
        <v>301</v>
      </c>
      <c r="E140" s="7" t="inlineStr">
        <is>
          <t>adressetilleggsnavn</t>
        </is>
      </c>
      <c r="G140" s="12" t="n">
        <v>22</v>
      </c>
      <c r="H140" s="12" t="inlineStr">
        <is>
          <t>Adressetilleggsnavn</t>
        </is>
      </c>
      <c r="I140" s="2" t="inlineStr">
        <is>
          <t>Et stedsnavn som er en del av den offisielle (veg-)adressen, jf. § 54 i matrikkelforskriften; vanligvis bruksnavn eller sjeldnere bygnings-/institusjonsnavn.</t>
        </is>
      </c>
      <c r="J140" s="12" t="inlineStr">
        <is>
          <t>Et ekstra navn som inngår i den offisielle adressen, jf. § 54 i  matrikkelforskriften; bruksnavn (108) eller bygnings-/institusjonsnavn</t>
        </is>
      </c>
      <c r="K140" s="5" t="n"/>
      <c r="O140" s="5">
        <f>CONCATENATE(Tabell1[[#This Row],[OSM tag]],";",Tabell1[[#This Row],[tillegg]],";",Tabell1[[#This Row],[fixme]])</f>
        <v/>
      </c>
      <c r="P140" s="5" t="inlineStr">
        <is>
          <t>Included in address import?</t>
        </is>
      </c>
    </row>
    <row customHeight="1" ht="17" r="141">
      <c r="A141" s="12" t="n">
        <v>6</v>
      </c>
      <c r="B141" s="12" t="inlineStr">
        <is>
          <t>infrastruktur</t>
        </is>
      </c>
      <c r="C141" s="12" t="inlineStr">
        <is>
          <t>veg</t>
        </is>
      </c>
      <c r="D141" s="12" t="n">
        <v>312</v>
      </c>
      <c r="E141" s="7" t="inlineStr">
        <is>
          <t>vegsving</t>
        </is>
      </c>
      <c r="G141" s="12" t="n">
        <v>5</v>
      </c>
      <c r="H141" s="12" t="inlineStr">
        <is>
          <t>Vegsving (veg/gate)</t>
        </is>
      </c>
      <c r="I141" s="2" t="inlineStr">
        <is>
          <t>Allment kjent sving på alle typer veger og gater.</t>
        </is>
      </c>
      <c r="J141" s="12" t="inlineStr">
        <is>
          <t>Markert eller allment kjent sving på offentlig og privat veg/gate, også mer lokale navn, f.eks. Styggdalssvingen.</t>
        </is>
      </c>
      <c r="K141" s="5" t="n"/>
      <c r="M141" s="5" t="inlineStr">
        <is>
          <t>place=locality</t>
        </is>
      </c>
      <c r="O141" s="5">
        <f>CONCATENATE(Tabell1[[#This Row],[OSM tag]],";",Tabell1[[#This Row],[tillegg]],";",Tabell1[[#This Row],[fixme]])</f>
        <v/>
      </c>
    </row>
    <row customHeight="1" ht="17" r="142">
      <c r="A142" s="12" t="n">
        <v>6</v>
      </c>
      <c r="B142" s="12" t="inlineStr">
        <is>
          <t>infrastruktur</t>
        </is>
      </c>
      <c r="C142" s="12" t="inlineStr">
        <is>
          <t>veg</t>
        </is>
      </c>
      <c r="D142" s="12" t="n">
        <v>313</v>
      </c>
      <c r="E142" s="12" t="inlineStr">
        <is>
          <t>bakkeVeg</t>
        </is>
      </c>
      <c r="G142" s="12" t="n">
        <v>6</v>
      </c>
      <c r="H142" s="12" t="inlineStr">
        <is>
          <t>Bakke (veg/gate)</t>
        </is>
      </c>
      <c r="I142" s="2" t="inlineStr">
        <is>
          <t>Allment kjent bakke på alle typer veger og gater.</t>
        </is>
      </c>
      <c r="J142" s="12" t="inlineStr">
        <is>
          <t>Bratt vegstrekning på offentlig/privat veg som har navn, også lokale bakkenavn, f.eks. Slottsbakken, Møllebakken; Eggemobakkene.</t>
        </is>
      </c>
      <c r="K142" s="5" t="n"/>
      <c r="M142" s="5" t="inlineStr">
        <is>
          <t>place=locality</t>
        </is>
      </c>
      <c r="O142" s="5">
        <f>CONCATENATE(Tabell1[[#This Row],[OSM tag]],";",Tabell1[[#This Row],[tillegg]],";",Tabell1[[#This Row],[fixme]])</f>
        <v/>
      </c>
    </row>
    <row customHeight="1" ht="34" r="143">
      <c r="B143" s="12" t="inlineStr">
        <is>
          <t>infrastruktur</t>
        </is>
      </c>
      <c r="C143" s="12" t="inlineStr">
        <is>
          <t>veg</t>
        </is>
      </c>
      <c r="E143" s="12" t="inlineStr">
        <is>
          <t>matrikkeladressenavn</t>
        </is>
      </c>
      <c r="I143" s="2" t="inlineStr">
        <is>
          <t>Et stedsnavn som inngår i den offiselle adressen ved matrikkeladresser, jf. § 55 tredje ledd i matrikkelforskriften.</t>
        </is>
      </c>
      <c r="J143" s="12" t="n"/>
      <c r="K143" s="5" t="n"/>
      <c r="O143" s="5">
        <f>CONCATENATE(Tabell1[[#This Row],[OSM tag]],";",Tabell1[[#This Row],[tillegg]],";",Tabell1[[#This Row],[fixme]])</f>
        <v/>
      </c>
      <c r="P143" s="5" t="inlineStr">
        <is>
          <t>streetname? Already part of address import?</t>
        </is>
      </c>
    </row>
    <row customHeight="1" ht="34" r="144">
      <c r="A144" s="12" t="n">
        <v>5</v>
      </c>
      <c r="B144" s="12" t="inlineStr">
        <is>
          <t>kultur</t>
        </is>
      </c>
      <c r="C144" s="12" t="inlineStr">
        <is>
          <t>kulturinstitusjoner</t>
        </is>
      </c>
      <c r="D144" s="12" t="n">
        <v>123</v>
      </c>
      <c r="E144" s="12" t="inlineStr">
        <is>
          <t>kirke</t>
        </is>
      </c>
      <c r="F144" t="n">
        <v>1727</v>
      </c>
      <c r="G144" s="12" t="n">
        <v>1629</v>
      </c>
      <c r="H144" s="12" t="inlineStr">
        <is>
          <t>Kirke</t>
        </is>
      </c>
      <c r="I144" s="2" t="inlineStr">
        <is>
          <t>Kirke, kapell, arbeidskirke og lignende</t>
        </is>
      </c>
      <c r="J144" s="12" t="inlineStr">
        <is>
          <t>Kirke/kapell/arbeidskirke knyttet til Den norske kirke</t>
        </is>
      </c>
      <c r="K144" s="1" t="inlineStr">
        <is>
          <t>"capacity = 450", 6
"deanery = Vest-Nedenes", 6
"diocese = Tunsberg", 12
"hearing_aids = yes", 15
"diocese = Agder og Telemark", 59
"parish = Kongsberg og Jondalen", 3
"parish = Mandal", 4
"religion = christian", 98
"capacity = 170", 3
"capacity = 200", 10
"deanery = Stavanger Domprosti", 7
"capacity = 430", 3
"note = Prostikirke", 4
"architect = J.H.Nissen", 4
"note = Soknekirke/arbeidskirke", 12
"parish = Bykle", 4
"parish = Farsund", 3
"building = church", 95
"capacity = 300", 5
"diocese = Stavanger", 15
"capacity = 350", 8
"deanery = Lister", 4
"parish = Bygland", 6
"toilets = yes", 44
"parish = Evje og Hornnes", 4
"architect = Linstow type / Anders Thorsen Syrtveit", 10
"capacity = 250", 7
"toilets:wheelchair = yes", 10
"capacity = 700", 3
"deanery = Bodø Domprosti", 6
"wheelchair = yes", 11
"parish = Gildeskål", 3
"parish = Holt", 4
"deanery = Ytre Stavanger", 6
"diocese = Sør-Hålogaland", 6
"capacity = 650", 3
"parish = Åmli", 3
"toilets:wheelchair = no", 6
"note = Soknekirke", 42
"deanery = Aust-Nedenes", 19
"amenity = place_of_worship", 98
"wheelchair = limited", 3
"toilets = no", 9
"capacity = 150", 3
"capacity = 400", 3
"deanery = Mandal", 6
"capacity = 500", 10
"architect = J.W.Nordan", 4
"deanery = Kongsberg", 7
"deanery = Otredal", 22
"denomination = lutheran", 98
"parish = Valle og Hylestad", 4
"deanery = Lier", 4</t>
        </is>
      </c>
      <c r="L144" s="5" t="inlineStr">
        <is>
          <t>amenity=place_of_worship;religion=christian; denomination=lutheran</t>
        </is>
      </c>
      <c r="O144" s="5">
        <f>CONCATENATE(Tabell1[[#This Row],[OSM tag]],";",Tabell1[[#This Row],[tillegg]],";",Tabell1[[#This Row],[fixme]])</f>
        <v/>
      </c>
      <c r="P144" s="5" t="inlineStr">
        <is>
          <t>Chruches are already imported, but SSR will introduce several alternative names</t>
        </is>
      </c>
    </row>
    <row customHeight="1" ht="17" r="145">
      <c r="A145" s="12" t="n">
        <v>5</v>
      </c>
      <c r="B145" s="12" t="inlineStr">
        <is>
          <t>kultur</t>
        </is>
      </c>
      <c r="C145" s="12" t="inlineStr">
        <is>
          <t>kulturinstitusjoner</t>
        </is>
      </c>
      <c r="D145" s="12" t="n">
        <v>125</v>
      </c>
      <c r="E145" s="12" t="inlineStr">
        <is>
          <t>forsamlingshusKulturhus</t>
        </is>
      </c>
      <c r="F145" t="n">
        <v>786</v>
      </c>
      <c r="G145" s="12" t="n">
        <v>653</v>
      </c>
      <c r="H145" s="12" t="inlineStr">
        <is>
          <t>Forsamlingshus/kulturhus</t>
        </is>
      </c>
      <c r="I145" s="2" t="inlineStr">
        <is>
          <t>Teater, kino, samfunnshus, grendehus og lignende</t>
        </is>
      </c>
      <c r="J145" s="12" t="inlineStr">
        <is>
          <t>Teater, kino, samfunnshus, grendehus o.l.</t>
        </is>
      </c>
      <c r="K145" s="1" t="inlineStr">
        <is>
          <t>"building = yes", 4
"place = isolated_dwelling", 3
"place = farm", 2
"amenity = community_centre", 3</t>
        </is>
      </c>
      <c r="L145" s="5" t="inlineStr">
        <is>
          <t>amenity=community_centre</t>
        </is>
      </c>
      <c r="O145" s="5">
        <f>CONCATENATE(Tabell1[[#This Row],[OSM tag]],";",Tabell1[[#This Row],[tillegg]],";",Tabell1[[#This Row],[fixme]])</f>
        <v/>
      </c>
    </row>
    <row customHeight="1" ht="34" r="146">
      <c r="A146" s="12" t="n">
        <v>8</v>
      </c>
      <c r="B146" s="12" t="inlineStr">
        <is>
          <t>kultur</t>
        </is>
      </c>
      <c r="C146" s="12" t="inlineStr">
        <is>
          <t>kulturinstitusjoner</t>
        </is>
      </c>
      <c r="D146" s="12" t="n">
        <v>225</v>
      </c>
      <c r="E146" s="12" t="inlineStr">
        <is>
          <t>annenKulturdetalj</t>
        </is>
      </c>
      <c r="F146" t="n">
        <v>4605</v>
      </c>
      <c r="G146" s="12" t="n">
        <v>3733</v>
      </c>
      <c r="H146" s="12" t="inlineStr">
        <is>
          <t>Annen kulturdetalj</t>
        </is>
      </c>
      <c r="I146" s="2" t="inlineStr">
        <is>
          <t>Alle andre typer kulturdetaljer, f.eks. lekeplass, utkikkstårn, fiskeplass, og lignende.</t>
        </is>
      </c>
      <c r="J146" s="12" t="inlineStr">
        <is>
          <t>Alle typer kulturdetaljer, f.eks. lekeplass, utkikkstårn, fiskeplass, o.l. Skriv  hva det er i merknadsfeltet.</t>
        </is>
      </c>
      <c r="K146" s="1" t="inlineStr">
        <is>
          <t>"resource = silver", 21
"building = yes", 6
"building = farm_auxiliary", 10
"incline = up", 5
"place = locality", 146
"man_made = mineshaft", 17
"historic = mine", 41
"highway = steps", 5</t>
        </is>
      </c>
      <c r="M146" s="12" t="inlineStr">
        <is>
          <t>place=locality</t>
        </is>
      </c>
      <c r="O146" s="5">
        <f>CONCATENATE(Tabell1[[#This Row],[OSM tag]],";",Tabell1[[#This Row],[tillegg]],";",Tabell1[[#This Row],[fixme]])</f>
        <v/>
      </c>
    </row>
    <row customHeight="1" ht="17" r="147">
      <c r="A147" s="12" t="n">
        <v>8</v>
      </c>
      <c r="B147" s="12" t="inlineStr">
        <is>
          <t>kultur</t>
        </is>
      </c>
      <c r="C147" s="12" t="inlineStr">
        <is>
          <t>kulturinstitusjoner</t>
        </is>
      </c>
      <c r="D147" s="12" t="n">
        <v>235</v>
      </c>
      <c r="E147" s="12" t="inlineStr">
        <is>
          <t>gravplass</t>
        </is>
      </c>
      <c r="F147" t="n">
        <v>164</v>
      </c>
      <c r="G147" s="12" t="n">
        <v>127</v>
      </c>
      <c r="H147" s="12" t="inlineStr">
        <is>
          <t>Gravplass</t>
        </is>
      </c>
      <c r="I147" s="2" t="inlineStr">
        <is>
          <t>Alle typer gravlunder, gravplasser.</t>
        </is>
      </c>
      <c r="J147" s="12" t="inlineStr">
        <is>
          <t>Alle typer gravlunder, gravplasser</t>
        </is>
      </c>
      <c r="K147" s="1" t="inlineStr">
        <is>
          <t>"type = multipolygon", 3
"cemetery = grave", 4
"landuse = cemetery", 4</t>
        </is>
      </c>
      <c r="L147" s="5" t="inlineStr">
        <is>
          <t>cemetery=grave</t>
        </is>
      </c>
      <c r="M147" s="12" t="inlineStr">
        <is>
          <t>place=locality</t>
        </is>
      </c>
      <c r="O147" s="5">
        <f>CONCATENATE(Tabell1[[#This Row],[OSM tag]],";",Tabell1[[#This Row],[tillegg]],";",Tabell1[[#This Row],[fixme]])</f>
        <v/>
      </c>
      <c r="P147" s="5" t="inlineStr">
        <is>
          <t>Mostly used for historic, private graves</t>
        </is>
      </c>
    </row>
    <row customHeight="1" ht="34" r="148">
      <c r="A148" s="12" t="n">
        <v>5</v>
      </c>
      <c r="B148" s="12" t="inlineStr">
        <is>
          <t>kultur</t>
        </is>
      </c>
      <c r="C148" s="12" t="inlineStr">
        <is>
          <t>kulturinstitusjoner</t>
        </is>
      </c>
      <c r="D148" s="12" t="n">
        <v>249</v>
      </c>
      <c r="E148" s="7" t="inlineStr">
        <is>
          <t>annenBygningForReligionsutøvelse</t>
        </is>
      </c>
      <c r="F148" t="n">
        <v>97</v>
      </c>
      <c r="G148" s="12" t="n">
        <v>70</v>
      </c>
      <c r="H148" s="12" t="inlineStr">
        <is>
          <t>Annen bygning for religiøs aktivitet</t>
        </is>
      </c>
      <c r="I148" s="2" t="inlineStr">
        <is>
          <t>Synagoge, moské, frikirke, menighetshus, kloster, gravkapell, bårehus, krematorium.</t>
        </is>
      </c>
      <c r="J148" s="12" t="inlineStr">
        <is>
          <t>Synagoge, moské, frikirke, menighetshus, kloster, gravkapell, bårehus,   krematorium. Skriv i merknadsfelt hvilken type.</t>
        </is>
      </c>
      <c r="K148" s="1" t="inlineStr"/>
      <c r="L148" s="5" t="inlineStr">
        <is>
          <t>amenity=place_of_worship</t>
        </is>
      </c>
      <c r="N148" s="5" t="inlineStr">
        <is>
          <t>fixme=specify religion=*, denomination=*, building=* etc</t>
        </is>
      </c>
      <c r="O148" s="5">
        <f>CONCATENATE(Tabell1[[#This Row],[OSM tag]],";",Tabell1[[#This Row],[tillegg]],";",Tabell1[[#This Row],[fixme]])</f>
        <v/>
      </c>
    </row>
    <row customHeight="1" ht="17" r="149">
      <c r="A149" s="12" t="n">
        <v>5</v>
      </c>
      <c r="B149" s="12" t="inlineStr">
        <is>
          <t>kultur</t>
        </is>
      </c>
      <c r="C149" s="12" t="inlineStr">
        <is>
          <t>kulturinstitusjoner</t>
        </is>
      </c>
      <c r="D149" s="12" t="n">
        <v>251</v>
      </c>
      <c r="E149" s="12" t="inlineStr">
        <is>
          <t>museumGalleriBibliotek</t>
        </is>
      </c>
      <c r="F149" t="n">
        <v>158</v>
      </c>
      <c r="G149" s="12" t="n">
        <v>98</v>
      </c>
      <c r="H149" s="12" t="inlineStr">
        <is>
          <t>Museum/galleri/bibliotek</t>
        </is>
      </c>
      <c r="I149" s="3" t="inlineStr">
        <is>
          <t>Alle typer museum, galleri og bibliotek.</t>
        </is>
      </c>
      <c r="J149" s="12" t="inlineStr">
        <is>
          <t>Alle typer museum, galleri og bibliotek</t>
        </is>
      </c>
      <c r="K149" s="1" t="inlineStr">
        <is>
          <t>"place = locality", 2
"place = isolated_dwelling", 2</t>
        </is>
      </c>
      <c r="L149" s="5" t="inlineStr">
        <is>
          <t>tourism=museum</t>
        </is>
      </c>
      <c r="M149" s="12" t="n"/>
      <c r="O149" s="5">
        <f>CONCATENATE(Tabell1[[#This Row],[OSM tag]],";",Tabell1[[#This Row],[tillegg]],";",Tabell1[[#This Row],[fixme]])</f>
        <v/>
      </c>
    </row>
    <row customHeight="1" ht="17" r="150">
      <c r="A150" s="12" t="n">
        <v>8</v>
      </c>
      <c r="B150" s="12" t="inlineStr">
        <is>
          <t>kultur</t>
        </is>
      </c>
      <c r="C150" s="12" t="inlineStr">
        <is>
          <t>kulturminner</t>
        </is>
      </c>
      <c r="D150" s="12" t="n">
        <v>207</v>
      </c>
      <c r="E150" s="12" t="inlineStr">
        <is>
          <t>offersted</t>
        </is>
      </c>
      <c r="G150" s="12" t="n">
        <v>21</v>
      </c>
      <c r="H150" s="12" t="inlineStr">
        <is>
          <t>Offersted</t>
        </is>
      </c>
      <c r="I150" s="2" t="inlineStr">
        <is>
          <t>Alle typer offersted.</t>
        </is>
      </c>
      <c r="J150" s="12" t="inlineStr">
        <is>
          <t>Samisk, norsk eller kvensk offersted</t>
        </is>
      </c>
      <c r="K150" s="5" t="n"/>
      <c r="L150" s="5" t="inlineStr">
        <is>
          <t>historic=heritage</t>
        </is>
      </c>
      <c r="M150" s="12" t="inlineStr">
        <is>
          <t>place=locality</t>
        </is>
      </c>
      <c r="O150" s="5">
        <f>CONCATENATE(Tabell1[[#This Row],[OSM tag]],";",Tabell1[[#This Row],[tillegg]],";",Tabell1[[#This Row],[fixme]])</f>
        <v/>
      </c>
    </row>
    <row customHeight="1" ht="17" r="151">
      <c r="A151" s="12" t="n">
        <v>8</v>
      </c>
      <c r="B151" s="12" t="inlineStr">
        <is>
          <t>kultur</t>
        </is>
      </c>
      <c r="C151" s="12" t="inlineStr">
        <is>
          <t>kulturminner</t>
        </is>
      </c>
      <c r="D151" s="12" t="n">
        <v>208</v>
      </c>
      <c r="E151" s="12" t="inlineStr">
        <is>
          <t>severdighet</t>
        </is>
      </c>
      <c r="F151" t="n">
        <v>205</v>
      </c>
      <c r="G151" s="12" t="n">
        <v>193</v>
      </c>
      <c r="H151" s="12" t="inlineStr">
        <is>
          <t>Severdighet</t>
        </is>
      </c>
      <c r="I151" s="2" t="inlineStr">
        <is>
          <t>Minnesmerke, arkeologiske funn og lignende</t>
        </is>
      </c>
      <c r="J151" s="12" t="inlineStr">
        <is>
          <t>Skriv forklaring i merknadsfeltet, f.eks. ’minnesmerke’</t>
        </is>
      </c>
      <c r="K151" s="1" t="inlineStr">
        <is>
          <t>"tourism = museum", 2
"type = multipolygon", 2
"place = locality", 2
"historic = memorial", 4
"tourism = attraction", 3</t>
        </is>
      </c>
      <c r="L151" s="5" t="inlineStr">
        <is>
          <t>tourism=attraction</t>
        </is>
      </c>
      <c r="O151" s="5">
        <f>CONCATENATE(Tabell1[[#This Row],[OSM tag]],";",Tabell1[[#This Row],[tillegg]],";",Tabell1[[#This Row],[fixme]])</f>
        <v/>
      </c>
    </row>
    <row customHeight="1" ht="17" r="152">
      <c r="A152" s="12" t="n">
        <v>8</v>
      </c>
      <c r="B152" s="12" t="inlineStr">
        <is>
          <t>kultur</t>
        </is>
      </c>
      <c r="C152" s="12" t="inlineStr">
        <is>
          <t>kulturminner</t>
        </is>
      </c>
      <c r="D152" s="12" t="n">
        <v>209</v>
      </c>
      <c r="E152" s="7" t="inlineStr">
        <is>
          <t>utsiktspunkt</t>
        </is>
      </c>
      <c r="G152" s="12" t="n">
        <v>97</v>
      </c>
      <c r="H152" s="12" t="inlineStr">
        <is>
          <t>Utsiktspunkt</t>
        </is>
      </c>
      <c r="I152" s="2" t="inlineStr">
        <is>
          <t>Både fra tårn og på bakken.</t>
        </is>
      </c>
      <c r="J152" s="12" t="inlineStr">
        <is>
          <t>Både i tårn og på bakken, f.eks. Kongens utsikt</t>
        </is>
      </c>
      <c r="K152" s="5" t="n"/>
      <c r="L152" s="5" t="inlineStr">
        <is>
          <t>tourism=viewpoint</t>
        </is>
      </c>
      <c r="O152" s="5">
        <f>CONCATENATE(Tabell1[[#This Row],[OSM tag]],";",Tabell1[[#This Row],[tillegg]],";",Tabell1[[#This Row],[fixme]])</f>
        <v/>
      </c>
    </row>
    <row customHeight="1" ht="17" r="153">
      <c r="A153" s="12" t="n">
        <v>3</v>
      </c>
      <c r="B153" s="12" t="inlineStr">
        <is>
          <t>markslag</t>
        </is>
      </c>
      <c r="C153" s="12" t="inlineStr">
        <is>
          <t>bartFjell</t>
        </is>
      </c>
      <c r="D153" s="12" t="n">
        <v>63</v>
      </c>
      <c r="E153" s="12" t="inlineStr">
        <is>
          <t>fjellIDagen</t>
        </is>
      </c>
      <c r="F153" t="n">
        <v>502</v>
      </c>
      <c r="G153" s="12" t="n">
        <v>444</v>
      </c>
      <c r="H153" s="12" t="inlineStr">
        <is>
          <t>Sva</t>
        </is>
      </c>
      <c r="I153" s="2" t="inlineStr">
        <is>
          <t>Lite/ingen vegetasjon; sva, svaberg.</t>
        </is>
      </c>
      <c r="J153" s="12" t="inlineStr">
        <is>
          <t>Bart fjell-/steinparti</t>
        </is>
      </c>
      <c r="K153" s="1" t="inlineStr"/>
      <c r="M153" s="12" t="inlineStr">
        <is>
          <t>place=locality</t>
        </is>
      </c>
      <c r="O153" s="5">
        <f>CONCATENATE(Tabell1[[#This Row],[OSM tag]],";",Tabell1[[#This Row],[tillegg]],";",Tabell1[[#This Row],[fixme]])</f>
        <v/>
      </c>
      <c r="P153" s="5" t="inlineStr">
        <is>
          <t>The natural/physical feature is ofte not distinct</t>
        </is>
      </c>
    </row>
    <row customHeight="1" ht="17" r="154">
      <c r="A154" s="12" t="n">
        <v>3</v>
      </c>
      <c r="B154" s="12" t="inlineStr">
        <is>
          <t>markslag</t>
        </is>
      </c>
      <c r="C154" s="12" t="inlineStr">
        <is>
          <t>dyrkamark</t>
        </is>
      </c>
      <c r="D154" s="12" t="n">
        <v>62</v>
      </c>
      <c r="E154" s="7" t="inlineStr">
        <is>
          <t>utmark</t>
        </is>
      </c>
      <c r="F154" t="n">
        <v>5946</v>
      </c>
      <c r="G154" s="12" t="n">
        <v>5340</v>
      </c>
      <c r="H154" s="12" t="inlineStr">
        <is>
          <t>Utmark</t>
        </is>
      </c>
      <c r="I154" s="2" t="inlineStr">
        <is>
          <t>Beitemark i skog og mark vekk fra garden (og innmarka).</t>
        </is>
      </c>
      <c r="J154" s="12" t="inlineStr">
        <is>
          <t>Ikke inngjerdet beitemark</t>
        </is>
      </c>
      <c r="K154" s="1" t="inlineStr">
        <is>
          <t>"place = farm", 15
"place = locality", 56
"landuse = meadow", 2</t>
        </is>
      </c>
      <c r="L154" s="2" t="n"/>
      <c r="M154" s="12" t="inlineStr">
        <is>
          <t>place=locality</t>
        </is>
      </c>
      <c r="O154" s="5">
        <f>CONCATENATE(Tabell1[[#This Row],[OSM tag]],";",Tabell1[[#This Row],[tillegg]],";",Tabell1[[#This Row],[fixme]])</f>
        <v/>
      </c>
      <c r="P154" s="5" t="inlineStr">
        <is>
          <t>Mostly historic use of land</t>
        </is>
      </c>
    </row>
    <row customHeight="1" ht="17" r="155">
      <c r="A155" s="12" t="n">
        <v>3</v>
      </c>
      <c r="B155" s="12" t="inlineStr">
        <is>
          <t>markslag</t>
        </is>
      </c>
      <c r="C155" s="12" t="inlineStr">
        <is>
          <t>dyrkamark</t>
        </is>
      </c>
      <c r="D155" s="12" t="n">
        <v>67</v>
      </c>
      <c r="E155" s="12" t="inlineStr">
        <is>
          <t>eng</t>
        </is>
      </c>
      <c r="F155" t="n">
        <v>3069</v>
      </c>
      <c r="G155" s="12" t="n">
        <v>2408</v>
      </c>
      <c r="H155" s="12" t="inlineStr">
        <is>
          <t>Eng</t>
        </is>
      </c>
      <c r="I155" s="2" t="inlineStr">
        <is>
          <t>Kultivert slåtte-/gressmark.</t>
        </is>
      </c>
      <c r="J155" s="12" t="inlineStr">
        <is>
          <t>Kultivert slåtte-/gressmark</t>
        </is>
      </c>
      <c r="K155" s="1" t="inlineStr">
        <is>
          <t>"type = multipolygon", 4
"place = locality", 10
"landuse = meadow", 9</t>
        </is>
      </c>
      <c r="L155" s="5" t="inlineStr">
        <is>
          <t>landuse=meadow</t>
        </is>
      </c>
      <c r="O155" s="5">
        <f>CONCATENATE(Tabell1[[#This Row],[OSM tag]],";",Tabell1[[#This Row],[tillegg]],";",Tabell1[[#This Row],[fixme]])</f>
        <v/>
      </c>
    </row>
    <row customHeight="1" ht="17" r="156">
      <c r="A156" s="12" t="n">
        <v>3</v>
      </c>
      <c r="B156" s="12" t="inlineStr">
        <is>
          <t>markslag</t>
        </is>
      </c>
      <c r="C156" s="12" t="inlineStr">
        <is>
          <t>dyrkamark</t>
        </is>
      </c>
      <c r="D156" s="12" t="n">
        <v>68</v>
      </c>
      <c r="E156" s="12" t="inlineStr">
        <is>
          <t>jorde</t>
        </is>
      </c>
      <c r="F156" t="n">
        <v>7495</v>
      </c>
      <c r="G156" s="12" t="n">
        <v>4914</v>
      </c>
      <c r="H156" s="12" t="inlineStr">
        <is>
          <t>Jorde</t>
        </is>
      </c>
      <c r="I156" s="2" t="inlineStr">
        <is>
          <t>Kultivert dyrkningsmark.</t>
        </is>
      </c>
      <c r="J156" s="12" t="inlineStr">
        <is>
          <t>Kultivert dyrkamark</t>
        </is>
      </c>
      <c r="K156" s="1" t="inlineStr">
        <is>
          <t>"type = multipolygon", 21
"place = locality", 130
"landuse = farmland", 49</t>
        </is>
      </c>
      <c r="M156" s="12" t="inlineStr">
        <is>
          <t>place=locality</t>
        </is>
      </c>
      <c r="O156" s="5">
        <f>CONCATENATE(Tabell1[[#This Row],[OSM tag]],";",Tabell1[[#This Row],[tillegg]],";",Tabell1[[#This Row],[fixme]])</f>
        <v/>
      </c>
    </row>
    <row customHeight="1" ht="17" r="157">
      <c r="A157" s="12" t="n">
        <v>3</v>
      </c>
      <c r="B157" s="12" t="inlineStr">
        <is>
          <t>markslag</t>
        </is>
      </c>
      <c r="C157" s="12" t="inlineStr">
        <is>
          <t>dyrkamark</t>
        </is>
      </c>
      <c r="D157" s="12" t="n">
        <v>69</v>
      </c>
      <c r="E157" s="12" t="inlineStr">
        <is>
          <t>havnehage</t>
        </is>
      </c>
      <c r="F157" t="n">
        <v>504</v>
      </c>
      <c r="G157" s="12" t="n">
        <v>314</v>
      </c>
      <c r="H157" s="12" t="inlineStr">
        <is>
          <t>Havnehage</t>
        </is>
      </c>
      <c r="I157" s="2" t="inlineStr">
        <is>
          <t>Inngjerdet beitemark.</t>
        </is>
      </c>
      <c r="J157" s="12" t="inlineStr">
        <is>
          <t>Inngjerdet beitemark</t>
        </is>
      </c>
      <c r="K157" s="1" t="inlineStr">
        <is>
          <t>"place = locality", 9</t>
        </is>
      </c>
      <c r="M157" s="5" t="inlineStr">
        <is>
          <t>place=locality</t>
        </is>
      </c>
      <c r="O157" s="5">
        <f>CONCATENATE(Tabell1[[#This Row],[OSM tag]],";",Tabell1[[#This Row],[tillegg]],";",Tabell1[[#This Row],[fixme]])</f>
        <v/>
      </c>
      <c r="P157" s="5" t="inlineStr">
        <is>
          <t>Mostly historic, often no farmland/meadow</t>
        </is>
      </c>
    </row>
    <row customHeight="1" ht="17" r="158">
      <c r="A158" s="12" t="n">
        <v>3</v>
      </c>
      <c r="B158" s="12" t="inlineStr">
        <is>
          <t>markslag</t>
        </is>
      </c>
      <c r="C158" s="12" t="inlineStr">
        <is>
          <t>dyrkamark</t>
        </is>
      </c>
      <c r="D158" s="12" t="n">
        <v>71</v>
      </c>
      <c r="E158" s="12" t="inlineStr">
        <is>
          <t>setervoll</t>
        </is>
      </c>
      <c r="F158" t="n">
        <v>3602</v>
      </c>
      <c r="G158" s="12" t="n">
        <v>3166</v>
      </c>
      <c r="H158" s="12" t="inlineStr">
        <is>
          <t>Setervoll</t>
        </is>
      </c>
      <c r="I158" s="2" t="inlineStr">
        <is>
          <t>Ryddet, gressbevokst område på seter uten hus.</t>
        </is>
      </c>
      <c r="J158" s="12" t="inlineStr">
        <is>
          <t>Ryddet, gressbevokst område på seter uten hus</t>
        </is>
      </c>
      <c r="K158" s="1" t="inlineStr">
        <is>
          <t>"building = farm_auxiliary", 11
"building = yes", 5
"historic = shieling", 79
"place = locality", 106
"building = cabin", 5
"place = isolated_dwelling", 5
"landuse = meadow", 26
"place = farm", 10</t>
        </is>
      </c>
      <c r="L158" s="2" t="inlineStr">
        <is>
          <t>historic=shieling</t>
        </is>
      </c>
      <c r="M158" s="12" t="inlineStr">
        <is>
          <t>place=locality</t>
        </is>
      </c>
      <c r="O158" s="5">
        <f>CONCATENATE(Tabell1[[#This Row],[OSM tag]],";",Tabell1[[#This Row],[tillegg]],";",Tabell1[[#This Row],[fixme]])</f>
        <v/>
      </c>
    </row>
    <row customHeight="1" ht="34" r="159">
      <c r="A159" s="12" t="n">
        <v>8</v>
      </c>
      <c r="B159" s="12" t="inlineStr">
        <is>
          <t>markslag</t>
        </is>
      </c>
      <c r="C159" s="12" t="inlineStr">
        <is>
          <t>dyrkamark</t>
        </is>
      </c>
      <c r="D159" s="12" t="n">
        <v>224</v>
      </c>
      <c r="E159" s="12" t="inlineStr">
        <is>
          <t>melkeplass</t>
        </is>
      </c>
      <c r="F159" t="n">
        <v>293</v>
      </c>
      <c r="G159" s="12" t="n">
        <v>264</v>
      </c>
      <c r="H159" s="12" t="inlineStr">
        <is>
          <t>Melkeplass</t>
        </is>
      </c>
      <c r="I159" s="2" t="inlineStr">
        <is>
          <t>Seterplass uten hus (ev. med enkelt skur) brukt til melking av husdyr.</t>
        </is>
      </c>
      <c r="J159" s="12" t="inlineStr">
        <is>
          <t>Seterplass uten hus, vanligvis i bratte lier på Vestlandet</t>
        </is>
      </c>
      <c r="K159" s="1" t="inlineStr">
        <is>
          <t>"historic = shieling", 7
"place = locality", 8</t>
        </is>
      </c>
      <c r="L159" s="2" t="inlineStr">
        <is>
          <t>historic=shieling</t>
        </is>
      </c>
      <c r="M159" s="12" t="inlineStr">
        <is>
          <t>place=locality</t>
        </is>
      </c>
      <c r="O159" s="5">
        <f>CONCATENATE(Tabell1[[#This Row],[OSM tag]],";",Tabell1[[#This Row],[tillegg]],";",Tabell1[[#This Row],[fixme]])</f>
        <v/>
      </c>
    </row>
    <row customHeight="1" ht="34" r="160">
      <c r="A160" s="12" t="n">
        <v>2</v>
      </c>
      <c r="B160" s="12" t="inlineStr">
        <is>
          <t>markslag</t>
        </is>
      </c>
      <c r="C160" s="12" t="inlineStr">
        <is>
          <t>isOgPermafrost</t>
        </is>
      </c>
      <c r="D160" s="12" t="n">
        <v>50</v>
      </c>
      <c r="E160" s="12" t="inlineStr">
        <is>
          <t>isbre</t>
        </is>
      </c>
      <c r="F160" t="n">
        <v>474</v>
      </c>
      <c r="G160" s="12" t="n">
        <v>491</v>
      </c>
      <c r="H160" s="12" t="inlineStr">
        <is>
          <t>Isbre</t>
        </is>
      </c>
      <c r="I160" s="2" t="inlineStr">
        <is>
          <t>Større sammenhengende snø- eller isområde som ikke smelter i løpet av sommeren.</t>
        </is>
      </c>
      <c r="J160" s="12" t="inlineStr">
        <is>
          <t>Større, sammenhengende snø- og isområde som ikke smelter i løpet av sommeren. Eks. Svartisen, Folgefonna</t>
        </is>
      </c>
      <c r="K160" s="1" t="inlineStr">
        <is>
          <t>"natural = glacier", 3</t>
        </is>
      </c>
      <c r="L160" s="5" t="inlineStr">
        <is>
          <t>natural=glacier</t>
        </is>
      </c>
      <c r="O160" s="5">
        <f>CONCATENATE(Tabell1[[#This Row],[OSM tag]],";",Tabell1[[#This Row],[tillegg]],";",Tabell1[[#This Row],[fixme]])</f>
        <v/>
      </c>
    </row>
    <row customHeight="1" ht="17" r="161">
      <c r="A161" s="12" t="n">
        <v>2</v>
      </c>
      <c r="B161" s="12" t="inlineStr">
        <is>
          <t>markslag</t>
        </is>
      </c>
      <c r="C161" s="12" t="inlineStr">
        <is>
          <t>isOgPermafrost</t>
        </is>
      </c>
      <c r="D161" s="12" t="n">
        <v>51</v>
      </c>
      <c r="E161" s="12" t="inlineStr">
        <is>
          <t>fonn</t>
        </is>
      </c>
      <c r="G161" s="12" t="n">
        <v>179</v>
      </c>
      <c r="H161" s="12" t="inlineStr">
        <is>
          <t>Fonn</t>
        </is>
      </c>
      <c r="I161" s="2" t="inlineStr">
        <is>
          <t>Liten snø- eller isflate som vanligvis ikke smelter om sommeren.</t>
        </is>
      </c>
      <c r="J161" s="12" t="inlineStr">
        <is>
          <t>Liten snø- eller isflate, snøfonn som ikke smelter i løpet av sommeren</t>
        </is>
      </c>
      <c r="K161" s="5" t="n"/>
      <c r="M161" s="12" t="inlineStr">
        <is>
          <t>place=locality</t>
        </is>
      </c>
      <c r="O161" s="5">
        <f>CONCATENATE(Tabell1[[#This Row],[OSM tag]],";",Tabell1[[#This Row],[tillegg]],";",Tabell1[[#This Row],[fixme]])</f>
        <v/>
      </c>
    </row>
    <row customHeight="1" ht="17" r="162">
      <c r="B162" s="12" t="inlineStr">
        <is>
          <t>markslag</t>
        </is>
      </c>
      <c r="C162" s="12" t="inlineStr">
        <is>
          <t>isOgPermafrost</t>
        </is>
      </c>
      <c r="E162" s="7" t="inlineStr">
        <is>
          <t>iskuppel</t>
        </is>
      </c>
      <c r="I162" s="2" t="inlineStr">
        <is>
          <t>Konveks ismasse av en viss tykkelse i større bre eller innlandsis.</t>
        </is>
      </c>
      <c r="J162" s="12" t="n"/>
      <c r="K162" s="5" t="n"/>
      <c r="L162" s="5" t="inlineStr">
        <is>
          <t>natural=glacier</t>
        </is>
      </c>
      <c r="O162" s="5">
        <f>CONCATENATE(Tabell1[[#This Row],[OSM tag]],";",Tabell1[[#This Row],[tillegg]],";",Tabell1[[#This Row],[fixme]])</f>
        <v/>
      </c>
    </row>
    <row customHeight="1" ht="17" r="163">
      <c r="A163" s="12" t="n">
        <v>1</v>
      </c>
      <c r="B163" s="12" t="inlineStr">
        <is>
          <t>markslag</t>
        </is>
      </c>
      <c r="C163" s="12" t="inlineStr">
        <is>
          <t>løsmasseavsetninger</t>
        </is>
      </c>
      <c r="D163" s="12" t="n">
        <v>21</v>
      </c>
      <c r="E163" s="12" t="inlineStr">
        <is>
          <t>stein</t>
        </is>
      </c>
      <c r="F163" t="n">
        <v>3254</v>
      </c>
      <c r="G163" s="12" t="n">
        <v>2950</v>
      </c>
      <c r="H163" s="12" t="inlineStr">
        <is>
          <t>Stein</t>
        </is>
      </c>
      <c r="I163" s="2" t="inlineStr">
        <is>
          <t>Frittliggende steinblokk.</t>
        </is>
      </c>
      <c r="J163" s="12" t="inlineStr">
        <is>
          <t>Frittliggende stor stein(blokk), f.eks. flyttstein (fra istiden) i fjellet.</t>
        </is>
      </c>
      <c r="K163" s="1" t="inlineStr">
        <is>
          <t>"natural = stone", 49
"natural = rock", 2</t>
        </is>
      </c>
      <c r="L163" s="5" t="inlineStr">
        <is>
          <t>natural=stone</t>
        </is>
      </c>
      <c r="M163" s="12" t="n"/>
      <c r="O163" s="5">
        <f>CONCATENATE(Tabell1[[#This Row],[OSM tag]],";",Tabell1[[#This Row],[tillegg]],";",Tabell1[[#This Row],[fixme]])</f>
        <v/>
      </c>
    </row>
    <row customHeight="1" ht="17" r="164">
      <c r="A164" s="12" t="n">
        <v>3</v>
      </c>
      <c r="B164" s="12" t="inlineStr">
        <is>
          <t>markslag</t>
        </is>
      </c>
      <c r="C164" s="12" t="inlineStr">
        <is>
          <t>løsmasseavsetninger</t>
        </is>
      </c>
      <c r="D164" s="12" t="n">
        <v>64</v>
      </c>
      <c r="E164" s="7" t="inlineStr">
        <is>
          <t>ur</t>
        </is>
      </c>
      <c r="F164" t="n">
        <v>2487</v>
      </c>
      <c r="G164" s="12" t="n">
        <v>2354</v>
      </c>
      <c r="H164" s="12" t="inlineStr">
        <is>
          <t>Ur</t>
        </is>
      </c>
      <c r="I164" s="2" t="inlineStr">
        <is>
          <t>Steinområde, steinrøys.</t>
        </is>
      </c>
      <c r="J164" s="12" t="inlineStr">
        <is>
          <t>Steinområde, steinrøys</t>
        </is>
      </c>
      <c r="K164" s="1" t="inlineStr">
        <is>
          <t>"place = locality", 2
"natural = scree", 63</t>
        </is>
      </c>
      <c r="L164" s="5" t="inlineStr">
        <is>
          <t>natural=scree</t>
        </is>
      </c>
      <c r="O164" s="5">
        <f>CONCATENATE(Tabell1[[#This Row],[OSM tag]],";",Tabell1[[#This Row],[tillegg]],";",Tabell1[[#This Row],[fixme]])</f>
        <v/>
      </c>
    </row>
    <row customHeight="1" ht="34" r="165">
      <c r="A165" s="12" t="n">
        <v>3</v>
      </c>
      <c r="B165" s="12" t="inlineStr">
        <is>
          <t>markslag</t>
        </is>
      </c>
      <c r="C165" s="12" t="inlineStr">
        <is>
          <t>løsmasseavsetninger</t>
        </is>
      </c>
      <c r="D165" s="12" t="n">
        <v>65</v>
      </c>
      <c r="E165" s="7" t="inlineStr">
        <is>
          <t>øyr</t>
        </is>
      </c>
      <c r="G165" s="12" t="n">
        <v>646</v>
      </c>
      <c r="H165" s="12" t="inlineStr">
        <is>
          <t>Øyr</t>
        </is>
      </c>
      <c r="I165" s="2" t="inlineStr">
        <is>
          <t>Sand-/grusområde i elvemunning, elvedelta både mot innsjø/vann og saltvann.</t>
        </is>
      </c>
      <c r="J165" s="12" t="inlineStr">
        <is>
          <t>Sand-/grusområde i elvemunning, elvedelta både mot innsjø/vann og saltvann</t>
        </is>
      </c>
      <c r="K165" s="5" t="n"/>
      <c r="M165" s="12" t="inlineStr">
        <is>
          <t>place=locality</t>
        </is>
      </c>
      <c r="O165" s="5">
        <f>CONCATENATE(Tabell1[[#This Row],[OSM tag]],";",Tabell1[[#This Row],[tillegg]],";",Tabell1[[#This Row],[fixme]])</f>
        <v/>
      </c>
    </row>
    <row customHeight="1" ht="17" r="166">
      <c r="A166" s="12" t="n">
        <v>3</v>
      </c>
      <c r="B166" s="12" t="inlineStr">
        <is>
          <t>markslag</t>
        </is>
      </c>
      <c r="C166" s="12" t="inlineStr">
        <is>
          <t>løsmasseavsetninger</t>
        </is>
      </c>
      <c r="D166" s="12" t="n">
        <v>66</v>
      </c>
      <c r="E166" s="12" t="inlineStr">
        <is>
          <t>sand</t>
        </is>
      </c>
      <c r="F166" t="n">
        <v>130</v>
      </c>
      <c r="G166" s="12" t="n">
        <v>121</v>
      </c>
      <c r="H166" s="12" t="inlineStr">
        <is>
          <t>Sand</t>
        </is>
      </c>
      <c r="I166" s="2" t="inlineStr">
        <is>
          <t>Finkornede avsetninger (sand og/eller grus).</t>
        </is>
      </c>
      <c r="J166" s="12" t="inlineStr">
        <is>
          <t>Sand-/grusområde over vannkontur/kystkontur; morenemateriale</t>
        </is>
      </c>
      <c r="K166" s="1" t="inlineStr">
        <is>
          <t>"place = locality", 2</t>
        </is>
      </c>
      <c r="L166" s="5" t="inlineStr">
        <is>
          <t>natural=beach; surface=sand</t>
        </is>
      </c>
      <c r="O166" s="5">
        <f>CONCATENATE(Tabell1[[#This Row],[OSM tag]],";",Tabell1[[#This Row],[tillegg]],";",Tabell1[[#This Row],[fixme]])</f>
        <v/>
      </c>
      <c r="P166" s="5" t="inlineStr">
        <is>
          <t>Beach in most observed cases</t>
        </is>
      </c>
    </row>
    <row customHeight="1" ht="17" r="167">
      <c r="B167" s="12" t="inlineStr">
        <is>
          <t>markslag</t>
        </is>
      </c>
      <c r="C167" s="12" t="inlineStr">
        <is>
          <t>løsmasseavsetninger</t>
        </is>
      </c>
      <c r="E167" s="7" t="inlineStr">
        <is>
          <t>elvemel</t>
        </is>
      </c>
      <c r="I167" s="2" t="inlineStr">
        <is>
          <t>Bratt sand-/grusskråning langs elv eller vann.</t>
        </is>
      </c>
      <c r="J167" s="12" t="n"/>
      <c r="K167" s="5" t="n"/>
      <c r="M167" s="5" t="inlineStr">
        <is>
          <t>place=locality</t>
        </is>
      </c>
      <c r="O167" s="5">
        <f>CONCATENATE(Tabell1[[#This Row],[OSM tag]],";",Tabell1[[#This Row],[tillegg]],";",Tabell1[[#This Row],[fixme]])</f>
        <v/>
      </c>
    </row>
    <row customHeight="1" ht="17" r="168">
      <c r="B168" s="12" t="inlineStr">
        <is>
          <t>markslag</t>
        </is>
      </c>
      <c r="C168" s="12" t="inlineStr">
        <is>
          <t>løsmasseavsetninger</t>
        </is>
      </c>
      <c r="E168" s="12" t="inlineStr">
        <is>
          <t>skredområde</t>
        </is>
      </c>
      <c r="F168" t="n">
        <v>73</v>
      </c>
      <c r="I168" s="2" t="inlineStr">
        <is>
          <t>Område der det går eller har gått skred.</t>
        </is>
      </c>
      <c r="J168" s="12" t="n"/>
      <c r="K168" s="1" t="inlineStr"/>
      <c r="L168" s="5" t="inlineStr">
        <is>
          <t>natural=scree</t>
        </is>
      </c>
      <c r="M168" s="12" t="inlineStr">
        <is>
          <t>place=locality</t>
        </is>
      </c>
      <c r="O168" s="5">
        <f>CONCATENATE(Tabell1[[#This Row],[OSM tag]],";",Tabell1[[#This Row],[tillegg]],";",Tabell1[[#This Row],[fixme]])</f>
        <v/>
      </c>
    </row>
    <row customHeight="1" ht="17" r="169">
      <c r="A169" s="12" t="n">
        <v>3</v>
      </c>
      <c r="B169" s="12" t="inlineStr">
        <is>
          <t>markslag</t>
        </is>
      </c>
      <c r="C169" s="12" t="inlineStr">
        <is>
          <t>uttakOgDeponi</t>
        </is>
      </c>
      <c r="D169" s="12" t="n">
        <v>70</v>
      </c>
      <c r="E169" s="7" t="inlineStr">
        <is>
          <t>torvtak</t>
        </is>
      </c>
      <c r="G169" s="12" t="n">
        <v>19</v>
      </c>
      <c r="H169" s="12" t="inlineStr">
        <is>
          <t>Torvtak</t>
        </is>
      </c>
      <c r="I169" s="2" t="inlineStr">
        <is>
          <t>Sted for uttak av myrtorv, brenntorv eller veksttorv.</t>
        </is>
      </c>
      <c r="J169" s="12" t="inlineStr">
        <is>
          <t>Sted for uttak av myrtorv/brenntorv/veksttorv</t>
        </is>
      </c>
      <c r="K169" s="5" t="n"/>
      <c r="L169" s="5" t="inlineStr">
        <is>
          <t>landuse=peat_cutting</t>
        </is>
      </c>
      <c r="O169" s="5">
        <f>CONCATENATE(Tabell1[[#This Row],[OSM tag]],";",Tabell1[[#This Row],[tillegg]],";",Tabell1[[#This Row],[fixme]])</f>
        <v/>
      </c>
    </row>
    <row customHeight="1" ht="17" r="170">
      <c r="A170" s="12" t="n">
        <v>5</v>
      </c>
      <c r="B170" s="12" t="inlineStr">
        <is>
          <t>markslag</t>
        </is>
      </c>
      <c r="C170" s="12" t="inlineStr">
        <is>
          <t>uttakOgDeponi</t>
        </is>
      </c>
      <c r="D170" s="12" t="n">
        <v>218</v>
      </c>
      <c r="E170" s="12" t="inlineStr">
        <is>
          <t>bergverk</t>
        </is>
      </c>
      <c r="F170" t="n">
        <v>310</v>
      </c>
      <c r="G170" s="12" t="n">
        <v>273</v>
      </c>
      <c r="H170" s="12" t="inlineStr">
        <is>
          <t>Bergverk  (underjord./dagbrudd)</t>
        </is>
      </c>
      <c r="I170" s="2" t="inlineStr">
        <is>
          <t>Gruve, skjerp og mineraluttak i dagen eller under jorda.</t>
        </is>
      </c>
      <c r="J170" s="12" t="inlineStr">
        <is>
          <t>Gruve, skjerp</t>
        </is>
      </c>
      <c r="K170" s="1" t="inlineStr">
        <is>
          <t>"resource = silver", 3
"place = locality", 2
"landuse = quarry", 3
"historic = mine", 7</t>
        </is>
      </c>
      <c r="L170" s="5" t="inlineStr">
        <is>
          <t>landuse=quarry</t>
        </is>
      </c>
      <c r="O170" s="5">
        <f>CONCATENATE(Tabell1[[#This Row],[OSM tag]],";",Tabell1[[#This Row],[tillegg]],";",Tabell1[[#This Row],[fixme]])</f>
        <v/>
      </c>
    </row>
    <row customHeight="1" ht="17" r="171">
      <c r="A171" s="12" t="n">
        <v>3</v>
      </c>
      <c r="B171" s="12" t="inlineStr">
        <is>
          <t>markslag</t>
        </is>
      </c>
      <c r="C171" s="12" t="inlineStr">
        <is>
          <t>uttakOgDeponi</t>
        </is>
      </c>
      <c r="D171" s="12" t="n">
        <v>226</v>
      </c>
      <c r="E171" s="12" t="inlineStr">
        <is>
          <t>grustakSteinbrudd</t>
        </is>
      </c>
      <c r="F171" t="n">
        <v>147</v>
      </c>
      <c r="G171" s="12" t="n">
        <v>127</v>
      </c>
      <c r="H171" s="12" t="inlineStr">
        <is>
          <t>Grustak/steinbrudd</t>
        </is>
      </c>
      <c r="I171" s="2" t="inlineStr">
        <is>
          <t>Uttaksplass/-område for sand, grus, pukk, skifer eller stein.</t>
        </is>
      </c>
      <c r="J171" s="12" t="inlineStr">
        <is>
          <t>Uttaksplass/-område for sand, grus, pukk, skifer eller stein (Se også Bergverk 218)</t>
        </is>
      </c>
      <c r="K171" s="1" t="inlineStr"/>
      <c r="L171" s="5" t="inlineStr">
        <is>
          <t>landuse=quarry</t>
        </is>
      </c>
      <c r="O171" s="5">
        <f>CONCATENATE(Tabell1[[#This Row],[OSM tag]],";",Tabell1[[#This Row],[tillegg]],";",Tabell1[[#This Row],[fixme]])</f>
        <v/>
      </c>
    </row>
    <row customHeight="1" ht="17" r="172">
      <c r="A172" s="12" t="n">
        <v>3</v>
      </c>
      <c r="B172" s="12" t="inlineStr">
        <is>
          <t>markslag</t>
        </is>
      </c>
      <c r="C172" s="12" t="inlineStr">
        <is>
          <t>uttakOgDeponi</t>
        </is>
      </c>
      <c r="D172" s="12" t="n">
        <v>264</v>
      </c>
      <c r="E172" s="12" t="inlineStr">
        <is>
          <t>fyllplass</t>
        </is>
      </c>
      <c r="G172" s="12" t="n">
        <v>4</v>
      </c>
      <c r="H172" s="12" t="inlineStr">
        <is>
          <t>Fyllplass</t>
        </is>
      </c>
      <c r="I172" s="2" t="inlineStr">
        <is>
          <t>Plass for deponering av masse som stein, jord og søppel.</t>
        </is>
      </c>
      <c r="J172" s="12" t="inlineStr">
        <is>
          <t>Plass for deponering av masse</t>
        </is>
      </c>
      <c r="K172" s="5" t="n"/>
      <c r="L172" s="2" t="inlineStr">
        <is>
          <t>landuse=landfill</t>
        </is>
      </c>
      <c r="O172" s="5">
        <f>CONCATENATE(Tabell1[[#This Row],[OSM tag]],";",Tabell1[[#This Row],[tillegg]],";",Tabell1[[#This Row],[fixme]])</f>
        <v/>
      </c>
    </row>
    <row customHeight="1" ht="17" r="173">
      <c r="A173" s="12" t="n">
        <v>3</v>
      </c>
      <c r="B173" s="12" t="inlineStr">
        <is>
          <t>markslag</t>
        </is>
      </c>
      <c r="C173" s="12" t="inlineStr">
        <is>
          <t>vegetasjon</t>
        </is>
      </c>
      <c r="D173" s="12" t="n">
        <v>60</v>
      </c>
      <c r="E173" s="12" t="inlineStr">
        <is>
          <t>skog</t>
        </is>
      </c>
      <c r="F173" t="n">
        <v>7811</v>
      </c>
      <c r="G173" s="12" t="n">
        <v>7616</v>
      </c>
      <c r="H173" s="12" t="inlineStr">
        <is>
          <t>Skog</t>
        </is>
      </c>
      <c r="I173" s="2" t="inlineStr">
        <is>
          <t>Alle typer fra stor barskog til og med vierkratt i Finnmark.</t>
        </is>
      </c>
      <c r="J173" s="12" t="inlineStr">
        <is>
          <t>Alle typer fra stor barskog til vierkratt i Finnmark</t>
        </is>
      </c>
      <c r="K173" s="1" t="inlineStr">
        <is>
          <t>"place = locality", 9
"type = multipolygon", 6
"natural = wood", 20
"place = farm", 11
"leaf_type = needleleaved", 3</t>
        </is>
      </c>
      <c r="M173" s="12" t="inlineStr">
        <is>
          <t>place=locality</t>
        </is>
      </c>
      <c r="O173" s="5">
        <f>CONCATENATE(Tabell1[[#This Row],[OSM tag]],";",Tabell1[[#This Row],[tillegg]],";",Tabell1[[#This Row],[fixme]])</f>
        <v/>
      </c>
    </row>
    <row customHeight="1" ht="17" r="174">
      <c r="A174" s="12" t="n">
        <v>3</v>
      </c>
      <c r="B174" s="12" t="inlineStr">
        <is>
          <t>markslag</t>
        </is>
      </c>
      <c r="C174" s="12" t="inlineStr">
        <is>
          <t>vegetasjon</t>
        </is>
      </c>
      <c r="D174" s="12" t="n">
        <v>311</v>
      </c>
      <c r="E174" s="12" t="inlineStr">
        <is>
          <t>skogholt</t>
        </is>
      </c>
      <c r="F174" t="n">
        <v>45</v>
      </c>
      <c r="G174" s="12" t="n">
        <v>6</v>
      </c>
      <c r="H174" s="12" t="inlineStr">
        <is>
          <t>Skogholt</t>
        </is>
      </c>
      <c r="I174" s="2" t="inlineStr">
        <is>
          <t>Mindre samling av trær.</t>
        </is>
      </c>
      <c r="J174" s="12" t="inlineStr">
        <is>
          <t>Mindre samling av trær; lund; skogkrull.</t>
        </is>
      </c>
      <c r="K174" s="1" t="inlineStr">
        <is>
          <t>"place = isolated_dwelling", 4</t>
        </is>
      </c>
      <c r="M174" s="12" t="inlineStr">
        <is>
          <t>place=locality</t>
        </is>
      </c>
      <c r="O174" s="5">
        <f>CONCATENATE(Tabell1[[#This Row],[OSM tag]],";",Tabell1[[#This Row],[tillegg]],";",Tabell1[[#This Row],[fixme]])</f>
        <v/>
      </c>
    </row>
    <row customHeight="1" ht="17" r="175">
      <c r="A175" s="12" t="n">
        <v>3</v>
      </c>
      <c r="B175" s="12" t="inlineStr">
        <is>
          <t>markslag</t>
        </is>
      </c>
      <c r="C175" s="12" t="inlineStr">
        <is>
          <t>våtmark</t>
        </is>
      </c>
      <c r="D175" s="12" t="n">
        <v>61</v>
      </c>
      <c r="E175" s="12" t="inlineStr">
        <is>
          <t>myr</t>
        </is>
      </c>
      <c r="F175" t="n">
        <v>51698</v>
      </c>
      <c r="G175" s="12" t="n">
        <v>50738</v>
      </c>
      <c r="H175" s="12" t="inlineStr">
        <is>
          <t>Myr</t>
        </is>
      </c>
      <c r="I175" s="2" t="inlineStr">
        <is>
          <t>Alle typer fra åpen gressmyr til våt moldjord dekket med kjerr.</t>
        </is>
      </c>
      <c r="J175" s="12" t="inlineStr">
        <is>
          <t>Alle typer fra åpen gressmyr til våt moldjord dekket med kjerr</t>
        </is>
      </c>
      <c r="K175" s="1" t="inlineStr">
        <is>
          <t>"wetland = bog", 220
"type = multipolygon", 91
"natural = wetland", 319
"place = locality", 517</t>
        </is>
      </c>
      <c r="L175" s="5" t="inlineStr">
        <is>
          <t>natural=wetland</t>
        </is>
      </c>
      <c r="O175" s="5">
        <f>CONCATENATE(Tabell1[[#This Row],[OSM tag]],";",Tabell1[[#This Row],[tillegg]],";",Tabell1[[#This Row],[fixme]])</f>
        <v/>
      </c>
    </row>
    <row customHeight="1" ht="17" r="176">
      <c r="A176" s="12" t="n">
        <v>7</v>
      </c>
      <c r="B176" s="12" t="inlineStr">
        <is>
          <t>offentlig</t>
        </is>
      </c>
      <c r="C176" s="12" t="inlineStr">
        <is>
          <t>administrativeIndelinger</t>
        </is>
      </c>
      <c r="D176" s="12" t="n">
        <v>180</v>
      </c>
      <c r="E176" s="7" t="inlineStr">
        <is>
          <t>nasjon</t>
        </is>
      </c>
      <c r="G176" s="12" t="n">
        <v>3</v>
      </c>
      <c r="H176" s="12" t="inlineStr">
        <is>
          <t>Nasjon</t>
        </is>
      </c>
      <c r="I176" s="2" t="inlineStr">
        <is>
          <t>Offisielt navn på selvstendig stat eller land.</t>
        </is>
      </c>
      <c r="J176" s="12" t="inlineStr">
        <is>
          <t>Selvstendig stat (offisielt navn)</t>
        </is>
      </c>
      <c r="K176" s="5" t="n"/>
      <c r="L176" s="9" t="n"/>
      <c r="O176" s="5">
        <f>CONCATENATE(Tabell1[[#This Row],[OSM tag]],";",Tabell1[[#This Row],[tillegg]],";",Tabell1[[#This Row],[fixme]])</f>
        <v/>
      </c>
      <c r="P176" s="5" t="inlineStr">
        <is>
          <t>Already mapped</t>
        </is>
      </c>
    </row>
    <row customHeight="1" ht="17" r="177">
      <c r="A177" s="12" t="n">
        <v>7</v>
      </c>
      <c r="B177" s="12" t="inlineStr">
        <is>
          <t>offentlig</t>
        </is>
      </c>
      <c r="C177" s="12" t="inlineStr">
        <is>
          <t>administrativeIndelinger</t>
        </is>
      </c>
      <c r="D177" s="12" t="n">
        <v>181</v>
      </c>
      <c r="E177" s="12" t="inlineStr">
        <is>
          <t>fylke</t>
        </is>
      </c>
      <c r="G177" s="12" t="n">
        <v>23</v>
      </c>
      <c r="H177" s="12" t="inlineStr">
        <is>
          <t>Fylke</t>
        </is>
      </c>
      <c r="I177" s="2" t="inlineStr">
        <is>
          <t>Offisielt navn.</t>
        </is>
      </c>
      <c r="J177" s="12" t="inlineStr">
        <is>
          <t>Offisielt navn</t>
        </is>
      </c>
      <c r="K177" s="5" t="n"/>
      <c r="L177" s="9" t="n"/>
      <c r="O177" s="5">
        <f>CONCATENATE(Tabell1[[#This Row],[OSM tag]],";",Tabell1[[#This Row],[tillegg]],";",Tabell1[[#This Row],[fixme]])</f>
        <v/>
      </c>
      <c r="P177" s="5" t="inlineStr">
        <is>
          <t>Already mapped</t>
        </is>
      </c>
    </row>
    <row customHeight="1" ht="17" r="178">
      <c r="A178" s="12" t="n">
        <v>7</v>
      </c>
      <c r="B178" s="12" t="inlineStr">
        <is>
          <t>offentlig</t>
        </is>
      </c>
      <c r="C178" s="12" t="inlineStr">
        <is>
          <t>administrativeIndelinger</t>
        </is>
      </c>
      <c r="D178" s="12" t="n">
        <v>182</v>
      </c>
      <c r="E178" s="12" t="inlineStr">
        <is>
          <t>kommune</t>
        </is>
      </c>
      <c r="G178" s="12" t="n">
        <v>463</v>
      </c>
      <c r="H178" s="12" t="inlineStr">
        <is>
          <t>Kommune</t>
        </is>
      </c>
      <c r="I178" s="2" t="inlineStr">
        <is>
          <t>Offisielt navn.</t>
        </is>
      </c>
      <c r="J178" s="12" t="inlineStr">
        <is>
          <t>Offisielt navn</t>
        </is>
      </c>
      <c r="K178" s="5" t="n"/>
      <c r="O178" s="5">
        <f>CONCATENATE(Tabell1[[#This Row],[OSM tag]],";",Tabell1[[#This Row],[tillegg]],";",Tabell1[[#This Row],[fixme]])</f>
        <v/>
      </c>
      <c r="P178" s="5" t="inlineStr">
        <is>
          <t>Already mapped</t>
        </is>
      </c>
    </row>
    <row customHeight="1" ht="17" r="179">
      <c r="A179" s="12" t="n">
        <v>7</v>
      </c>
      <c r="B179" s="12" t="inlineStr">
        <is>
          <t>offentlig</t>
        </is>
      </c>
      <c r="C179" s="12" t="inlineStr">
        <is>
          <t>administrativeIndelinger</t>
        </is>
      </c>
      <c r="D179" s="12" t="n">
        <v>183</v>
      </c>
      <c r="E179" s="12" t="inlineStr">
        <is>
          <t>sokn</t>
        </is>
      </c>
      <c r="F179" t="n">
        <v>13</v>
      </c>
      <c r="G179" s="12" t="n">
        <v>12</v>
      </c>
      <c r="H179" s="12" t="inlineStr">
        <is>
          <t>Sogn</t>
        </is>
      </c>
      <c r="I179" s="2" t="inlineStr">
        <is>
          <t>Kirkesokn i Den norske kirke.</t>
        </is>
      </c>
      <c r="J179" s="12" t="inlineStr">
        <is>
          <t>Kirkesogn i Den norske kirke</t>
        </is>
      </c>
      <c r="K179" s="1" t="inlineStr">
        <is>
          <t>"place = suburb", 2</t>
        </is>
      </c>
      <c r="L179" s="5" t="inlineStr">
        <is>
          <t>place=hamlet</t>
        </is>
      </c>
      <c r="M179" s="12" t="n"/>
      <c r="O179" s="5">
        <f>CONCATENATE(Tabell1[[#This Row],[OSM tag]],";",Tabell1[[#This Row],[tillegg]],";",Tabell1[[#This Row],[fixme]])</f>
        <v/>
      </c>
    </row>
    <row customHeight="1" ht="17" r="180">
      <c r="A180" s="12" t="n">
        <v>7</v>
      </c>
      <c r="B180" s="12" t="inlineStr">
        <is>
          <t>offentlig</t>
        </is>
      </c>
      <c r="C180" s="12" t="inlineStr">
        <is>
          <t>administrativeIndelinger</t>
        </is>
      </c>
      <c r="D180" s="12" t="n">
        <v>184</v>
      </c>
      <c r="E180" s="12" t="inlineStr">
        <is>
          <t>grunnkrets</t>
        </is>
      </c>
      <c r="G180" s="12" t="n">
        <v>4</v>
      </c>
      <c r="H180" s="12" t="inlineStr">
        <is>
          <t>Grunnkrets</t>
        </is>
      </c>
      <c r="I180" s="2" t="inlineStr">
        <is>
          <t>Offisielt navn på grunnkrets.</t>
        </is>
      </c>
      <c r="J180" s="12" t="inlineStr">
        <is>
          <t>Se også 253 Annen adm. inndeling</t>
        </is>
      </c>
      <c r="K180" s="5" t="n"/>
      <c r="M180" s="12" t="inlineStr">
        <is>
          <t>place=locality</t>
        </is>
      </c>
      <c r="O180" s="5">
        <f>CONCATENATE(Tabell1[[#This Row],[OSM tag]],";",Tabell1[[#This Row],[tillegg]],";",Tabell1[[#This Row],[fixme]])</f>
        <v/>
      </c>
    </row>
    <row customHeight="1" ht="17" r="181">
      <c r="A181" s="12" t="n">
        <v>5</v>
      </c>
      <c r="B181" s="12" t="inlineStr">
        <is>
          <t>offentlig</t>
        </is>
      </c>
      <c r="C181" s="12" t="inlineStr">
        <is>
          <t>administrativeIndelinger</t>
        </is>
      </c>
      <c r="D181" s="12" t="n">
        <v>230</v>
      </c>
      <c r="E181" s="12" t="inlineStr">
        <is>
          <t>poststed</t>
        </is>
      </c>
      <c r="G181" s="12" t="n">
        <v>26</v>
      </c>
      <c r="H181" s="12" t="inlineStr">
        <is>
          <t>Poststed</t>
        </is>
      </c>
      <c r="I181" s="2" t="inlineStr">
        <is>
          <t>Offisielt poststed/postnummerområde.</t>
        </is>
      </c>
      <c r="J181" s="12" t="inlineStr">
        <is>
          <t>Offisielt poststed /postnummerområde</t>
        </is>
      </c>
      <c r="K181" s="5" t="n"/>
      <c r="O181" s="5">
        <f>CONCATENATE(Tabell1[[#This Row],[OSM tag]],";",Tabell1[[#This Row],[tillegg]],";",Tabell1[[#This Row],[fixme]])</f>
        <v/>
      </c>
      <c r="P181" s="5" t="inlineStr">
        <is>
          <t>Already in address import?</t>
        </is>
      </c>
    </row>
    <row customHeight="1" ht="34" r="182">
      <c r="A182" s="12" t="n">
        <v>7</v>
      </c>
      <c r="B182" s="12" t="inlineStr">
        <is>
          <t>offentlig</t>
        </is>
      </c>
      <c r="C182" s="12" t="inlineStr">
        <is>
          <t>administrativeIndelinger</t>
        </is>
      </c>
      <c r="D182" s="12" t="n">
        <v>253</v>
      </c>
      <c r="E182" s="12" t="inlineStr">
        <is>
          <t>annenAdministrativInndeling</t>
        </is>
      </c>
      <c r="G182" s="12" t="n">
        <v>14</v>
      </c>
      <c r="H182" s="12" t="inlineStr">
        <is>
          <t>Annen adm. inndeling</t>
        </is>
      </c>
      <c r="I182" s="3" t="inlineStr">
        <is>
          <t>Andre administrative inndelinger som ikke tilhører øvrige navneobjekttyper.</t>
        </is>
      </c>
      <c r="J182" s="12" t="inlineStr">
        <is>
          <t>Landsdel, havnedistrikt, politidistrikt, bispedømme, prestegjeld, skolekrets, valgkrets, postområde, o.l. Angi type i merknadsfeltet.</t>
        </is>
      </c>
      <c r="K182" s="5" t="n"/>
      <c r="O182" s="5">
        <f>CONCATENATE(Tabell1[[#This Row],[OSM tag]],";",Tabell1[[#This Row],[tillegg]],";",Tabell1[[#This Row],[fixme]])</f>
        <v/>
      </c>
      <c r="P182" s="5" t="inlineStr">
        <is>
          <t>Already mapped?</t>
        </is>
      </c>
    </row>
    <row customHeight="1" ht="34" r="183">
      <c r="A183" s="12" t="n">
        <v>7</v>
      </c>
      <c r="B183" s="12" t="inlineStr">
        <is>
          <t>offentlig</t>
        </is>
      </c>
      <c r="C183" s="12" t="inlineStr">
        <is>
          <t>administrativeIndelinger</t>
        </is>
      </c>
      <c r="D183" s="12" t="n">
        <v>258</v>
      </c>
      <c r="E183" s="12" t="inlineStr">
        <is>
          <t>grensemerke</t>
        </is>
      </c>
      <c r="G183" s="12" t="n">
        <v>672</v>
      </c>
      <c r="H183" s="12" t="inlineStr">
        <is>
          <t>Grensemerke</t>
        </is>
      </c>
      <c r="I183" s="2" t="inlineStr">
        <is>
          <t>Offisielt grensemerke: Varde, tre, stein, bolt, kors og lignende</t>
        </is>
      </c>
      <c r="J183" s="12" t="inlineStr">
        <is>
          <t>Off. godkjent grensemerke; varde, tre, stein, bolt, kors o.l.</t>
        </is>
      </c>
      <c r="K183" s="5" t="n"/>
      <c r="L183" s="5" t="inlineStr">
        <is>
          <t>man_made=cairn;historic=boundary_stone</t>
        </is>
      </c>
      <c r="M183" s="12" t="inlineStr">
        <is>
          <t>place=locality</t>
        </is>
      </c>
      <c r="O183" s="5">
        <f>CONCATENATE(Tabell1[[#This Row],[OSM tag]],";",Tabell1[[#This Row],[tillegg]],";",Tabell1[[#This Row],[fixme]])</f>
        <v/>
      </c>
      <c r="P183" s="5" t="inlineStr">
        <is>
          <t>Grenserøyser/merker</t>
        </is>
      </c>
    </row>
    <row customHeight="1" ht="17" r="184">
      <c r="A184" s="12" t="n">
        <v>3</v>
      </c>
      <c r="B184" s="12" t="inlineStr">
        <is>
          <t>offentlig</t>
        </is>
      </c>
      <c r="C184" s="12" t="inlineStr">
        <is>
          <t>administrativeIndelinger</t>
        </is>
      </c>
      <c r="D184" s="12" t="n">
        <v>263</v>
      </c>
      <c r="E184" s="12" t="inlineStr">
        <is>
          <t>skolekrets</t>
        </is>
      </c>
      <c r="G184" s="12" t="n">
        <v>25</v>
      </c>
      <c r="H184" s="12" t="inlineStr">
        <is>
          <t>Skred</t>
        </is>
      </c>
      <c r="I184" s="2" t="inlineStr">
        <is>
          <t>Skolekrets definert av kommunen.</t>
        </is>
      </c>
      <c r="J184" s="12" t="inlineStr">
        <is>
          <t>Rasområde med stein, jord, sand, leire</t>
        </is>
      </c>
      <c r="K184" s="5" t="n"/>
      <c r="M184" s="12" t="inlineStr">
        <is>
          <t>place=locality</t>
        </is>
      </c>
      <c r="O184" s="5">
        <f>CONCATENATE(Tabell1[[#This Row],[OSM tag]],";",Tabell1[[#This Row],[tillegg]],";",Tabell1[[#This Row],[fixme]])</f>
        <v/>
      </c>
    </row>
    <row customHeight="1" ht="17" r="185">
      <c r="A185" s="12" t="n">
        <v>7</v>
      </c>
      <c r="B185" s="12" t="inlineStr">
        <is>
          <t>offentlig</t>
        </is>
      </c>
      <c r="C185" s="12" t="inlineStr">
        <is>
          <t>administrativeIndelinger</t>
        </is>
      </c>
      <c r="D185" s="12" t="n">
        <v>269</v>
      </c>
      <c r="E185" s="7" t="inlineStr">
        <is>
          <t>administrativBydel</t>
        </is>
      </c>
      <c r="G185" s="12" t="n">
        <v>32</v>
      </c>
      <c r="H185" s="12" t="inlineStr">
        <is>
          <t>Adm. bydel</t>
        </is>
      </c>
      <c r="I185" s="3" t="inlineStr">
        <is>
          <t>Offisielt navn på bydelsforvaltningen i et angitt område.</t>
        </is>
      </c>
      <c r="J185" s="12" t="inlineStr">
        <is>
          <t>Offisielt navn på bydelsforvaltningen i et angitt område. (Se også 132 Bydel.)</t>
        </is>
      </c>
      <c r="K185" s="5" t="n"/>
      <c r="O185" s="5">
        <f>CONCATENATE(Tabell1[[#This Row],[OSM tag]],";",Tabell1[[#This Row],[tillegg]],";",Tabell1[[#This Row],[fixme]])</f>
        <v/>
      </c>
      <c r="P185" s="5" t="inlineStr">
        <is>
          <t>"Bydel" already mapped</t>
        </is>
      </c>
    </row>
    <row customHeight="1" ht="34" r="186">
      <c r="A186" s="12" t="n">
        <v>7</v>
      </c>
      <c r="B186" s="12" t="inlineStr">
        <is>
          <t>offentlig</t>
        </is>
      </c>
      <c r="C186" s="12" t="inlineStr">
        <is>
          <t>administrativeIndelinger</t>
        </is>
      </c>
      <c r="D186" s="12" t="n">
        <v>270</v>
      </c>
      <c r="E186" s="12" t="inlineStr">
        <is>
          <t>statistiskTettsted</t>
        </is>
      </c>
      <c r="G186" s="12" t="n">
        <v>3</v>
      </c>
      <c r="H186" s="12" t="inlineStr">
        <is>
          <t>Adm. tettsted</t>
        </is>
      </c>
      <c r="I186" s="2" t="inlineStr">
        <is>
          <t>Tettsted etter Statistisk sentralbyrås klassifisering som brukes for å lage statistikk over befolkning og tettsteder.</t>
        </is>
      </c>
      <c r="J186" s="12" t="inlineStr">
        <is>
          <t>Etter Statistisk sentralbyrås spesifikasjon</t>
        </is>
      </c>
      <c r="K186" s="5" t="n"/>
      <c r="O186" s="5">
        <f>CONCATENATE(Tabell1[[#This Row],[OSM tag]],";",Tabell1[[#This Row],[tillegg]],";",Tabell1[[#This Row],[fixme]])</f>
        <v/>
      </c>
      <c r="P186" s="5" t="inlineStr">
        <is>
          <t>Already mapped?</t>
        </is>
      </c>
    </row>
    <row customHeight="1" ht="17" r="187">
      <c r="B187" s="12" t="inlineStr">
        <is>
          <t>offentlig</t>
        </is>
      </c>
      <c r="C187" s="12" t="inlineStr">
        <is>
          <t>administrativeIndelinger</t>
        </is>
      </c>
      <c r="E187" s="7" t="inlineStr">
        <is>
          <t>valgkrets</t>
        </is>
      </c>
      <c r="I187" s="2" t="inlineStr">
        <is>
          <t>Valgkrets definert av kommunen.</t>
        </is>
      </c>
      <c r="J187" s="12" t="n"/>
      <c r="K187" s="5" t="n"/>
      <c r="O187" s="5">
        <f>CONCATENATE(Tabell1[[#This Row],[OSM tag]],";",Tabell1[[#This Row],[tillegg]],";",Tabell1[[#This Row],[fixme]])</f>
        <v/>
      </c>
    </row>
    <row customHeight="1" ht="17" r="188">
      <c r="A188" s="12" t="n">
        <v>7</v>
      </c>
      <c r="B188" s="12" t="inlineStr">
        <is>
          <t>offentlig</t>
        </is>
      </c>
      <c r="C188" s="12" t="inlineStr">
        <is>
          <t>verne-OgBruksområder</t>
        </is>
      </c>
      <c r="D188" s="12" t="n">
        <v>185</v>
      </c>
      <c r="E188" s="12" t="inlineStr">
        <is>
          <t>allmenning</t>
        </is>
      </c>
      <c r="F188" t="n">
        <v>244</v>
      </c>
      <c r="G188" s="12" t="n">
        <v>233</v>
      </c>
      <c r="H188" s="12" t="inlineStr">
        <is>
          <t>Allmenning</t>
        </is>
      </c>
      <c r="I188" s="2" t="inlineStr">
        <is>
          <t>Område hvor rettighetene er regulert og fordelt på flere.</t>
        </is>
      </c>
      <c r="J188" s="12" t="inlineStr">
        <is>
          <t>Område hvor rettighetene er regulert og fordelt på flere. Alle typer. Angi type i merknadsfeltet.</t>
        </is>
      </c>
      <c r="K188" s="1" t="inlineStr">
        <is>
          <t>"place = locality", 3</t>
        </is>
      </c>
      <c r="L188" s="9" t="n"/>
      <c r="M188" s="12" t="inlineStr">
        <is>
          <t>place=locality</t>
        </is>
      </c>
      <c r="O188" s="5">
        <f>CONCATENATE(Tabell1[[#This Row],[OSM tag]],";",Tabell1[[#This Row],[tillegg]],";",Tabell1[[#This Row],[fixme]])</f>
        <v/>
      </c>
    </row>
    <row customHeight="1" ht="17" r="189">
      <c r="A189" s="12" t="n">
        <v>7</v>
      </c>
      <c r="B189" s="12" t="inlineStr">
        <is>
          <t>offentlig</t>
        </is>
      </c>
      <c r="C189" s="12" t="inlineStr">
        <is>
          <t>verne-OgBruksområder</t>
        </is>
      </c>
      <c r="D189" s="12" t="n">
        <v>186</v>
      </c>
      <c r="E189" s="12" t="inlineStr">
        <is>
          <t>skytefelt</t>
        </is>
      </c>
      <c r="G189" s="12" t="n">
        <v>3</v>
      </c>
      <c r="H189" s="12" t="inlineStr">
        <is>
          <t>Skytefelt</t>
        </is>
      </c>
      <c r="I189" s="2" t="inlineStr">
        <is>
          <t>Militært sprengingsfelt, bombe- og skytefelt, både på land og sjø.</t>
        </is>
      </c>
      <c r="J189" s="12" t="inlineStr">
        <is>
          <t>Militært skytefelt</t>
        </is>
      </c>
      <c r="K189" s="5" t="n"/>
      <c r="L189" s="5" t="inlineStr">
        <is>
          <t>military=range</t>
        </is>
      </c>
      <c r="O189" s="5">
        <f>CONCATENATE(Tabell1[[#This Row],[OSM tag]],";",Tabell1[[#This Row],[tillegg]],";",Tabell1[[#This Row],[fixme]])</f>
        <v/>
      </c>
    </row>
    <row customHeight="1" ht="51" r="190">
      <c r="A190" s="12" t="n">
        <v>7</v>
      </c>
      <c r="B190" s="12" t="inlineStr">
        <is>
          <t>offentlig</t>
        </is>
      </c>
      <c r="C190" s="12" t="inlineStr">
        <is>
          <t>verne-OgBruksområder</t>
        </is>
      </c>
      <c r="D190" s="12" t="n">
        <v>187</v>
      </c>
      <c r="E190" s="7" t="inlineStr">
        <is>
          <t>verneområde</t>
        </is>
      </c>
      <c r="F190" t="n">
        <v>753</v>
      </c>
      <c r="G190" s="12" t="n">
        <v>302</v>
      </c>
      <c r="H190" s="12" t="inlineStr">
        <is>
          <t>Verneområde</t>
        </is>
      </c>
      <c r="I190" s="2" t="inlineStr">
        <is>
          <t>Et område med spesiell natur- og/eller kulturverdi som er formelt vedtatt vernet etter offentlig regelverk. Alle typer, både på sjø og land.</t>
        </is>
      </c>
      <c r="J190" s="12" t="inlineStr">
        <is>
          <t>Alle typer på sjø og land. Angi type, f.eks. nasjonalpark, i merknadsfeltet</t>
        </is>
      </c>
      <c r="K190" s="1" t="inlineStr">
        <is>
          <t>"leisure = nature_reserve", 6
"type = multipolygon", 4
"naturbase:iid = VV00001832", 4
"attribution = Miljødirektoratet", 4
"boundary = protected_area", 7
"protect_class = 1", 5</t>
        </is>
      </c>
      <c r="L190" s="5" t="inlineStr">
        <is>
          <t>leisure=nature_reserve</t>
        </is>
      </c>
      <c r="N190" s="5" t="inlineStr">
        <is>
          <t>fixme=consider boundary=protected_area and relevant protect_class if not nature reserve</t>
        </is>
      </c>
      <c r="O190" s="5">
        <f>CONCATENATE(Tabell1[[#This Row],[OSM tag]],";",Tabell1[[#This Row],[tillegg]],";",Tabell1[[#This Row],[fixme]])</f>
        <v/>
      </c>
      <c r="P190" s="5" t="inlineStr">
        <is>
          <t>Mostly nature reserves, import area perimeter from Naturbase</t>
        </is>
      </c>
    </row>
    <row customHeight="1" ht="17" r="191">
      <c r="A191" s="12" t="n">
        <v>7</v>
      </c>
      <c r="B191" s="12" t="inlineStr">
        <is>
          <t>offentlig</t>
        </is>
      </c>
      <c r="C191" s="12" t="inlineStr">
        <is>
          <t>verne-OgBruksområder</t>
        </is>
      </c>
      <c r="D191" s="12" t="n">
        <v>188</v>
      </c>
      <c r="E191" s="12" t="inlineStr">
        <is>
          <t>soneinndelingTilHavs</t>
        </is>
      </c>
      <c r="G191" s="12" t="n">
        <v>5</v>
      </c>
      <c r="H191" s="12" t="inlineStr">
        <is>
          <t>Soneinndeling til havs</t>
        </is>
      </c>
      <c r="I191" s="2" t="inlineStr">
        <is>
          <t>Fiskerisone, havrettssone og lignende.</t>
        </is>
      </c>
      <c r="J191" s="12" t="inlineStr">
        <is>
          <t>Fiskerisone, havrettssone o.l. Angi type i merknadsfeltet.</t>
        </is>
      </c>
      <c r="K191" s="5" t="n"/>
      <c r="O191" s="5">
        <f>CONCATENATE(Tabell1[[#This Row],[OSM tag]],";",Tabell1[[#This Row],[tillegg]],";",Tabell1[[#This Row],[fixme]])</f>
        <v/>
      </c>
      <c r="P191" s="5" t="inlineStr">
        <is>
          <t>Already mapped?</t>
        </is>
      </c>
    </row>
    <row customHeight="1" ht="34" r="192">
      <c r="A192" s="12" t="n">
        <v>8</v>
      </c>
      <c r="B192" s="12" t="inlineStr">
        <is>
          <t>offentlig</t>
        </is>
      </c>
      <c r="C192" s="12" t="inlineStr">
        <is>
          <t>verne-OgBruksområder</t>
        </is>
      </c>
      <c r="D192" s="12" t="n">
        <v>210</v>
      </c>
      <c r="E192" s="12" t="inlineStr">
        <is>
          <t>skytebane</t>
        </is>
      </c>
      <c r="F192" t="n">
        <v>92</v>
      </c>
      <c r="G192" s="12" t="n">
        <v>72</v>
      </c>
      <c r="H192" s="12" t="inlineStr">
        <is>
          <t>Skytebane</t>
        </is>
      </c>
      <c r="I192" s="2" t="inlineStr">
        <is>
          <t>Bane for øvelse el. konkurranse i skyting.</t>
        </is>
      </c>
      <c r="J192" s="12" t="inlineStr">
        <is>
          <t>Pistol-/geværbane o.l.</t>
        </is>
      </c>
      <c r="K192" s="1" t="inlineStr"/>
      <c r="L192" s="5" t="inlineStr">
        <is>
          <t>sport=shooting; leisure=pitch</t>
        </is>
      </c>
      <c r="N192" s="5" t="inlineStr">
        <is>
          <t>fixme=specify shooting=range, clay_pigeon etc</t>
        </is>
      </c>
      <c r="O192" s="5">
        <f>CONCATENATE(Tabell1[[#This Row],[OSM tag]],";",Tabell1[[#This Row],[tillegg]],";",Tabell1[[#This Row],[fixme]])</f>
        <v/>
      </c>
    </row>
    <row customHeight="1" ht="17" r="193">
      <c r="A193" s="12" t="n">
        <v>4</v>
      </c>
      <c r="B193" s="12" t="inlineStr">
        <is>
          <t>sjø</t>
        </is>
      </c>
      <c r="C193" s="12" t="inlineStr">
        <is>
          <t>detaljISjø</t>
        </is>
      </c>
      <c r="D193" s="12" t="n">
        <v>298</v>
      </c>
      <c r="E193" s="12" t="inlineStr">
        <is>
          <t>sjødetalj</t>
        </is>
      </c>
      <c r="G193" s="12" t="n">
        <v>2</v>
      </c>
      <c r="H193" s="12" t="inlineStr">
        <is>
          <t>Sjødetalj</t>
        </is>
      </c>
      <c r="I193" s="2" t="inlineStr">
        <is>
          <t>Detalj som ikke dekkes av andre sjø-navneobjekttyper.</t>
        </is>
      </c>
      <c r="J193" s="12" t="inlineStr">
        <is>
          <t>Alle typer. Skriv forklaring i merknadsfeltet.</t>
        </is>
      </c>
      <c r="K193" s="5" t="n"/>
      <c r="M193" s="12" t="inlineStr">
        <is>
          <t>place=locality</t>
        </is>
      </c>
      <c r="O193" s="5">
        <f>CONCATENATE(Tabell1[[#This Row],[OSM tag]],";",Tabell1[[#This Row],[tillegg]],";",Tabell1[[#This Row],[fixme]])</f>
        <v/>
      </c>
    </row>
    <row customHeight="1" ht="17" r="194">
      <c r="A194" s="12" t="n">
        <v>4</v>
      </c>
      <c r="B194" s="12" t="inlineStr">
        <is>
          <t>sjø</t>
        </is>
      </c>
      <c r="C194" s="12" t="inlineStr">
        <is>
          <t>farvann</t>
        </is>
      </c>
      <c r="D194" s="12" t="n">
        <v>80</v>
      </c>
      <c r="E194" s="12" t="inlineStr">
        <is>
          <t>fjord</t>
        </is>
      </c>
      <c r="F194" t="n">
        <v>2011</v>
      </c>
      <c r="G194" s="12" t="n">
        <v>1901</v>
      </c>
      <c r="H194" s="12" t="inlineStr">
        <is>
          <t>Fjord</t>
        </is>
      </c>
      <c r="I194" s="2" t="inlineStr">
        <is>
          <t>Arm av havet inn i fastlandet.</t>
        </is>
      </c>
      <c r="J194" s="12" t="inlineStr">
        <is>
          <t>Arm av havet inn i fastlandet</t>
        </is>
      </c>
      <c r="K194" s="1" t="inlineStr">
        <is>
          <t>"natural = bay", 140
"bay = fjord", 138
"type = multipolygon", 15</t>
        </is>
      </c>
      <c r="L194" s="5" t="inlineStr">
        <is>
          <t>natural=bay; bay=fjord</t>
        </is>
      </c>
      <c r="O194" s="5">
        <f>CONCATENATE(Tabell1[[#This Row],[OSM tag]],";",Tabell1[[#This Row],[tillegg]],";",Tabell1[[#This Row],[fixme]])</f>
        <v/>
      </c>
      <c r="P194" s="5" t="inlineStr">
        <is>
          <t>New tagging</t>
        </is>
      </c>
    </row>
    <row customHeight="1" ht="17" r="195">
      <c r="A195" s="12" t="n">
        <v>4</v>
      </c>
      <c r="B195" s="12" t="inlineStr">
        <is>
          <t>sjø</t>
        </is>
      </c>
      <c r="C195" s="12" t="inlineStr">
        <is>
          <t>farvann</t>
        </is>
      </c>
      <c r="D195" s="12" t="n">
        <v>81</v>
      </c>
      <c r="E195" s="12" t="inlineStr">
        <is>
          <t>havområde</t>
        </is>
      </c>
      <c r="G195" s="12" t="n">
        <v>66</v>
      </c>
      <c r="H195" s="12" t="inlineStr">
        <is>
          <t>Havområde</t>
        </is>
      </c>
      <c r="I195" s="2" t="inlineStr">
        <is>
          <t>Del av et hav.</t>
        </is>
      </c>
      <c r="J195" s="12" t="inlineStr">
        <is>
          <t>Stort havområde. Eks. Barentshavet, Nordsjøen, Atlanterhavet</t>
        </is>
      </c>
      <c r="K195" s="5" t="n"/>
      <c r="L195" s="5" t="inlineStr">
        <is>
          <t>place=sea</t>
        </is>
      </c>
      <c r="O195" s="5">
        <f>CONCATENATE(Tabell1[[#This Row],[OSM tag]],";",Tabell1[[#This Row],[tillegg]],";",Tabell1[[#This Row],[fixme]])</f>
        <v/>
      </c>
    </row>
    <row customHeight="1" ht="17" r="196">
      <c r="A196" s="12" t="n">
        <v>4</v>
      </c>
      <c r="B196" s="12" t="inlineStr">
        <is>
          <t>sjø</t>
        </is>
      </c>
      <c r="C196" s="12" t="inlineStr">
        <is>
          <t>farvann</t>
        </is>
      </c>
      <c r="D196" s="12" t="n">
        <v>241</v>
      </c>
      <c r="E196" s="12" t="inlineStr">
        <is>
          <t>fjordmunning</t>
        </is>
      </c>
      <c r="G196" s="12" t="n">
        <v>6</v>
      </c>
      <c r="H196" s="12" t="inlineStr">
        <is>
          <t>Fjordmunning</t>
        </is>
      </c>
      <c r="I196" s="2" t="inlineStr">
        <is>
          <t>Område ytterst i en fjord.</t>
        </is>
      </c>
      <c r="J196" s="12" t="inlineStr">
        <is>
          <t>Område ytterst i en fjord</t>
        </is>
      </c>
      <c r="K196" s="5" t="n"/>
      <c r="L196" s="5" t="inlineStr">
        <is>
          <t>natural=bay; bay=fjord</t>
        </is>
      </c>
      <c r="M196" s="12" t="n"/>
      <c r="O196" s="5">
        <f>CONCATENATE(Tabell1[[#This Row],[OSM tag]],";",Tabell1[[#This Row],[tillegg]],";",Tabell1[[#This Row],[fixme]])</f>
        <v/>
      </c>
    </row>
    <row customHeight="1" ht="34" r="197">
      <c r="A197" s="12" t="n">
        <v>4</v>
      </c>
      <c r="B197" s="12" t="inlineStr">
        <is>
          <t>sjø</t>
        </is>
      </c>
      <c r="C197" s="12" t="inlineStr">
        <is>
          <t>farvann</t>
        </is>
      </c>
      <c r="D197" s="12" t="n">
        <v>255</v>
      </c>
      <c r="E197" s="12" t="inlineStr">
        <is>
          <t>sjøstykke</t>
        </is>
      </c>
      <c r="F197" t="n">
        <v>142</v>
      </c>
      <c r="G197" s="12" t="n">
        <v>119</v>
      </c>
      <c r="H197" s="12" t="inlineStr">
        <is>
          <t>Sjøstykke</t>
        </is>
      </c>
      <c r="I197" s="2" t="inlineStr">
        <is>
          <t>Stykke av sjøen utanfor land, vanligvis innaskjærs eller i kystnære farvann.</t>
        </is>
      </c>
      <c r="J197" s="12" t="inlineStr">
        <is>
          <t>Del av sjøen, vanligvis innaskjærs eller i kystnære farvann. Eks. Folda, Hustadvika</t>
        </is>
      </c>
      <c r="K197" s="1" t="inlineStr">
        <is>
          <t>"place = locality", 2</t>
        </is>
      </c>
      <c r="M197" s="12" t="inlineStr">
        <is>
          <t>place=locality</t>
        </is>
      </c>
      <c r="O197" s="5">
        <f>CONCATENATE(Tabell1[[#This Row],[OSM tag]],";",Tabell1[[#This Row],[tillegg]],";",Tabell1[[#This Row],[fixme]])</f>
        <v/>
      </c>
      <c r="P197" s="5" t="inlineStr">
        <is>
          <t>?</t>
        </is>
      </c>
    </row>
    <row customHeight="1" ht="17" r="198">
      <c r="A198" s="12" t="n">
        <v>4</v>
      </c>
      <c r="B198" s="12" t="inlineStr">
        <is>
          <t>sjø</t>
        </is>
      </c>
      <c r="C198" s="12" t="inlineStr">
        <is>
          <t>farvann</t>
        </is>
      </c>
      <c r="D198" s="12" t="n">
        <v>256</v>
      </c>
      <c r="E198" s="12" t="inlineStr">
        <is>
          <t>fiskeplassISjø</t>
        </is>
      </c>
      <c r="F198" t="n">
        <v>53</v>
      </c>
      <c r="G198" s="12" t="n">
        <v>46</v>
      </c>
      <c r="H198" s="12" t="inlineStr">
        <is>
          <t>Fiskeplass i sjø</t>
        </is>
      </c>
      <c r="I198" s="2" t="inlineStr">
        <is>
          <t>Navngitt fiskested; fiskemed.</t>
        </is>
      </c>
      <c r="J198" s="12" t="inlineStr">
        <is>
          <t>Fiskested, fiskemed</t>
        </is>
      </c>
      <c r="K198" s="1" t="inlineStr"/>
      <c r="M198" s="12" t="inlineStr">
        <is>
          <t>place=locality</t>
        </is>
      </c>
      <c r="O198" s="5">
        <f>CONCATENATE(Tabell1[[#This Row],[OSM tag]],";",Tabell1[[#This Row],[tillegg]],";",Tabell1[[#This Row],[fixme]])</f>
        <v/>
      </c>
      <c r="P198" s="5" t="inlineStr">
        <is>
          <t>?</t>
        </is>
      </c>
    </row>
    <row customHeight="1" ht="34" r="199">
      <c r="A199" s="12" t="n">
        <v>4</v>
      </c>
      <c r="B199" s="12" t="inlineStr">
        <is>
          <t>sjø</t>
        </is>
      </c>
      <c r="C199" s="12" t="inlineStr">
        <is>
          <t>farvann</t>
        </is>
      </c>
      <c r="D199" s="12" t="n">
        <v>308</v>
      </c>
      <c r="E199" s="12" t="inlineStr">
        <is>
          <t>havstrøm</t>
        </is>
      </c>
      <c r="G199" s="12" t="n">
        <v>1</v>
      </c>
      <c r="H199" s="12" t="inlineStr">
        <is>
          <t>Havstrøm</t>
        </is>
      </c>
      <c r="I199" s="2" t="inlineStr">
        <is>
          <t>Kontinuerlig bevegelse av vann (i havet) på grunn av klimatiske forhold eller tidevann.</t>
        </is>
      </c>
      <c r="J199" s="12" t="inlineStr">
        <is>
          <t>Kontinuerlig bevegelse av saltvann basert på klimatiske forhold eller tidevann f.eks Golfstrømmen, Saltstraumen, Nappstraumen.</t>
        </is>
      </c>
      <c r="K199" s="5" t="n"/>
      <c r="O199" s="5">
        <f>CONCATENATE(Tabell1[[#This Row],[OSM tag]],";",Tabell1[[#This Row],[tillegg]],";",Tabell1[[#This Row],[fixme]])</f>
        <v/>
      </c>
    </row>
    <row customHeight="1" ht="34" r="200">
      <c r="B200" s="12" t="inlineStr">
        <is>
          <t>sjø</t>
        </is>
      </c>
      <c r="C200" s="12" t="inlineStr">
        <is>
          <t>farvann</t>
        </is>
      </c>
      <c r="E200" s="12" t="inlineStr">
        <is>
          <t>kontinentalsokkel</t>
        </is>
      </c>
      <c r="I200" s="2" t="inlineStr">
        <is>
          <t>Område med grunt hav rundt kontinentene. Ofte brukt om et lands økonomiske interessesone til sjøs.</t>
        </is>
      </c>
      <c r="J200" s="12" t="n"/>
      <c r="K200" s="5" t="n"/>
      <c r="L200" s="5" t="inlineStr">
        <is>
          <t>place=sea</t>
        </is>
      </c>
      <c r="O200" s="5">
        <f>CONCATENATE(Tabell1[[#This Row],[OSM tag]],";",Tabell1[[#This Row],[tillegg]],";",Tabell1[[#This Row],[fixme]])</f>
        <v/>
      </c>
    </row>
    <row customHeight="1" ht="34" r="201">
      <c r="A201" s="12" t="n">
        <v>4</v>
      </c>
      <c r="B201" s="12" t="inlineStr">
        <is>
          <t>sjø</t>
        </is>
      </c>
      <c r="C201" s="12" t="inlineStr">
        <is>
          <t>grunnerISjø</t>
        </is>
      </c>
      <c r="D201" s="12" t="n">
        <v>90</v>
      </c>
      <c r="E201" s="12" t="inlineStr">
        <is>
          <t>skjærISjø</t>
        </is>
      </c>
      <c r="F201" t="n">
        <v>13581</v>
      </c>
      <c r="G201" s="12" t="n">
        <v>13989</v>
      </c>
      <c r="H201" s="12" t="inlineStr">
        <is>
          <t>Skjær i sjø</t>
        </is>
      </c>
      <c r="I201" s="2" t="inlineStr">
        <is>
          <t>Bergrunn nær eller rett over vannflaten.</t>
        </is>
      </c>
      <c r="J201" s="12" t="inlineStr">
        <is>
          <t>Fjell eller stein i vannflaten</t>
        </is>
      </c>
      <c r="K201" s="1" t="inlineStr">
        <is>
          <t>"place = islet", 578
"natural = shoal", 78
"seamark:type = rock", 126
"natural = coastline", 468
"natural = rock", 346</t>
        </is>
      </c>
      <c r="L201" s="5" t="inlineStr">
        <is>
          <t>place=islet</t>
        </is>
      </c>
      <c r="N201" s="5" t="inlineStr">
        <is>
          <t>fixme=consider seamark:type=rock or natural=shoal</t>
        </is>
      </c>
      <c r="O201" s="5">
        <f>CONCATENATE(Tabell1[[#This Row],[OSM tag]],";",Tabell1[[#This Row],[tillegg]],";",Tabell1[[#This Row],[fixme]])</f>
        <v/>
      </c>
    </row>
    <row customHeight="1" ht="17" r="202">
      <c r="A202" s="12" t="n">
        <v>4</v>
      </c>
      <c r="B202" s="12" t="inlineStr">
        <is>
          <t>sjø</t>
        </is>
      </c>
      <c r="C202" s="12" t="inlineStr">
        <is>
          <t>grunnerISjø</t>
        </is>
      </c>
      <c r="D202" s="12" t="n">
        <v>91</v>
      </c>
      <c r="E202" s="12" t="inlineStr">
        <is>
          <t>båeISjø</t>
        </is>
      </c>
      <c r="F202" t="n">
        <v>1258</v>
      </c>
      <c r="G202" s="12" t="n">
        <v>1206</v>
      </c>
      <c r="H202" s="12" t="inlineStr">
        <is>
          <t>Båe i sjø</t>
        </is>
      </c>
      <c r="I202" s="2" t="inlineStr">
        <is>
          <t>Spiss grunne; blindskjær som sjøen bryter over.</t>
        </is>
      </c>
      <c r="J202" s="12" t="inlineStr">
        <is>
          <t>Fjell eller stein under vannflaten</t>
        </is>
      </c>
      <c r="K202" s="1" t="inlineStr">
        <is>
          <t>"natural = rock", 2
"place = locality", 65
"seamark:type = rock", 65</t>
        </is>
      </c>
      <c r="L202" s="5" t="inlineStr">
        <is>
          <t>seamark:type=rock</t>
        </is>
      </c>
      <c r="M202" s="12" t="inlineStr">
        <is>
          <t>place=locality</t>
        </is>
      </c>
      <c r="O202" s="5">
        <f>CONCATENATE(Tabell1[[#This Row],[OSM tag]],";",Tabell1[[#This Row],[tillegg]],";",Tabell1[[#This Row],[fixme]])</f>
        <v/>
      </c>
      <c r="P202" s="5" t="inlineStr">
        <is>
          <t>NB: Position not accurate for navigation</t>
        </is>
      </c>
    </row>
    <row customHeight="1" ht="17" r="203">
      <c r="A203" s="12" t="n">
        <v>4</v>
      </c>
      <c r="B203" s="12" t="inlineStr">
        <is>
          <t>sjø</t>
        </is>
      </c>
      <c r="C203" s="12" t="inlineStr">
        <is>
          <t>grunnerISjø</t>
        </is>
      </c>
      <c r="D203" s="12" t="n">
        <v>92</v>
      </c>
      <c r="E203" s="12" t="inlineStr">
        <is>
          <t>grunneISjø</t>
        </is>
      </c>
      <c r="F203" t="n">
        <v>13167</v>
      </c>
      <c r="G203" s="12" t="n">
        <v>13694</v>
      </c>
      <c r="H203" s="12" t="inlineStr">
        <is>
          <t>Grunne i sjø</t>
        </is>
      </c>
      <c r="I203" s="2" t="inlineStr">
        <is>
          <t>Markant forhøyning av havbunnen.</t>
        </is>
      </c>
      <c r="J203" s="12" t="inlineStr">
        <is>
          <t>Forhøyning på bunnen som skiller seg vesentlig fra høyden på bunnen omkring</t>
        </is>
      </c>
      <c r="K203" s="1" t="inlineStr">
        <is>
          <t>"place = locality", 140
"natural = shoal", 347</t>
        </is>
      </c>
      <c r="L203" s="5" t="inlineStr">
        <is>
          <t>natural=shoal</t>
        </is>
      </c>
      <c r="M203" s="12" t="inlineStr">
        <is>
          <t>place=locality</t>
        </is>
      </c>
      <c r="O203" s="5">
        <f>CONCATENATE(Tabell1[[#This Row],[OSM tag]],";",Tabell1[[#This Row],[tillegg]],";",Tabell1[[#This Row],[fixme]])</f>
        <v/>
      </c>
    </row>
    <row customHeight="1" ht="17" r="204">
      <c r="A204" s="12" t="n">
        <v>4</v>
      </c>
      <c r="B204" s="12" t="inlineStr">
        <is>
          <t>sjø</t>
        </is>
      </c>
      <c r="C204" s="12" t="inlineStr">
        <is>
          <t>grunnerISjø</t>
        </is>
      </c>
      <c r="D204" s="12" t="n">
        <v>217</v>
      </c>
      <c r="E204" s="12" t="inlineStr">
        <is>
          <t>klakkISjø</t>
        </is>
      </c>
      <c r="G204" s="12" t="n">
        <v>54</v>
      </c>
      <c r="H204" s="12" t="inlineStr">
        <is>
          <t>Klakk i sjø</t>
        </is>
      </c>
      <c r="I204" s="2" t="inlineStr">
        <is>
          <t>Fjellknatt på sjøbunnen.</t>
        </is>
      </c>
      <c r="J204" s="12" t="inlineStr">
        <is>
          <t>Spiss grunne</t>
        </is>
      </c>
      <c r="K204" s="5" t="n"/>
      <c r="L204" s="5" t="inlineStr">
        <is>
          <t>natural=shoal</t>
        </is>
      </c>
      <c r="M204" s="12" t="n"/>
      <c r="O204" s="5">
        <f>CONCATENATE(Tabell1[[#This Row],[OSM tag]],";",Tabell1[[#This Row],[tillegg]],";",Tabell1[[#This Row],[fixme]])</f>
        <v/>
      </c>
    </row>
    <row customHeight="1" ht="17" r="205">
      <c r="B205" s="12" t="inlineStr">
        <is>
          <t>sjø</t>
        </is>
      </c>
      <c r="C205" s="12" t="inlineStr">
        <is>
          <t>grunnerISjø</t>
        </is>
      </c>
      <c r="E205" s="7" t="inlineStr">
        <is>
          <t>revISjø</t>
        </is>
      </c>
      <c r="I205" s="2" t="inlineStr">
        <is>
          <t>Grunne, banke av stein/fjell (som strekker seg ut fra en kyst).</t>
        </is>
      </c>
      <c r="J205" s="12" t="n"/>
      <c r="K205" s="5" t="n"/>
      <c r="L205" s="5" t="inlineStr">
        <is>
          <t>natural=shoal</t>
        </is>
      </c>
      <c r="M205" s="10" t="inlineStr">
        <is>
          <t>place=locality</t>
        </is>
      </c>
      <c r="O205" s="5">
        <f>CONCATENATE(Tabell1[[#This Row],[OSM tag]],";",Tabell1[[#This Row],[tillegg]],";",Tabell1[[#This Row],[fixme]])</f>
        <v/>
      </c>
    </row>
    <row customHeight="1" ht="17" r="206">
      <c r="A206" s="12" t="n">
        <v>4</v>
      </c>
      <c r="B206" s="12" t="inlineStr">
        <is>
          <t>sjø</t>
        </is>
      </c>
      <c r="C206" s="12" t="inlineStr">
        <is>
          <t>kystkontur</t>
        </is>
      </c>
      <c r="D206" s="12" t="n">
        <v>82</v>
      </c>
      <c r="E206" s="12" t="inlineStr">
        <is>
          <t>sundISjø</t>
        </is>
      </c>
      <c r="F206" t="n">
        <v>4671</v>
      </c>
      <c r="G206" s="12" t="n">
        <v>4494</v>
      </c>
      <c r="H206" s="12" t="inlineStr">
        <is>
          <t>Sund i sjø</t>
        </is>
      </c>
      <c r="I206" s="2" t="inlineStr">
        <is>
          <t>Innsnevret område mellom øyer eller fastland.</t>
        </is>
      </c>
      <c r="J206" s="12" t="inlineStr">
        <is>
          <t>Innsnevret område mellom øyer eller fastland</t>
        </is>
      </c>
      <c r="K206" s="1" t="inlineStr">
        <is>
          <t>"natural = strait", 391</t>
        </is>
      </c>
      <c r="L206" s="5" t="inlineStr">
        <is>
          <t>natural=strait</t>
        </is>
      </c>
      <c r="O206" s="5">
        <f>CONCATENATE(Tabell1[[#This Row],[OSM tag]],";",Tabell1[[#This Row],[tillegg]],";",Tabell1[[#This Row],[fixme]])</f>
        <v/>
      </c>
    </row>
    <row customHeight="1" ht="17" r="207">
      <c r="A207" s="12" t="n">
        <v>4</v>
      </c>
      <c r="B207" s="12" t="inlineStr">
        <is>
          <t>sjø</t>
        </is>
      </c>
      <c r="C207" s="12" t="inlineStr">
        <is>
          <t>kystkontur</t>
        </is>
      </c>
      <c r="D207" s="12" t="n">
        <v>83</v>
      </c>
      <c r="E207" s="7" t="inlineStr">
        <is>
          <t>vikISjø</t>
        </is>
      </c>
      <c r="F207" t="n">
        <v>26442</v>
      </c>
      <c r="G207" s="12" t="n">
        <v>26737</v>
      </c>
      <c r="H207" s="12" t="inlineStr">
        <is>
          <t>Vik i sjø</t>
        </is>
      </c>
      <c r="I207" s="2" t="inlineStr">
        <is>
          <t>Kil, bukt.</t>
        </is>
      </c>
      <c r="J207" s="12" t="inlineStr">
        <is>
          <t>Kil, bukt</t>
        </is>
      </c>
      <c r="K207" s="1" t="inlineStr">
        <is>
          <t>"natural = bay", 1608</t>
        </is>
      </c>
      <c r="L207" s="5" t="inlineStr">
        <is>
          <t>natural=bay</t>
        </is>
      </c>
      <c r="M207" s="12" t="n"/>
      <c r="O207" s="5">
        <f>CONCATENATE(Tabell1[[#This Row],[OSM tag]],";",Tabell1[[#This Row],[tillegg]],";",Tabell1[[#This Row],[fixme]])</f>
        <v/>
      </c>
    </row>
    <row customHeight="1" ht="17" r="208">
      <c r="A208" s="12" t="n">
        <v>4</v>
      </c>
      <c r="B208" s="12" t="inlineStr">
        <is>
          <t>sjø</t>
        </is>
      </c>
      <c r="C208" s="12" t="inlineStr">
        <is>
          <t>kystkontur</t>
        </is>
      </c>
      <c r="D208" s="12" t="n">
        <v>84</v>
      </c>
      <c r="E208" s="7" t="inlineStr">
        <is>
          <t>øyISjø</t>
        </is>
      </c>
      <c r="F208" t="n">
        <v>3911</v>
      </c>
      <c r="G208" s="12" t="n">
        <v>4179</v>
      </c>
      <c r="H208" s="12" t="inlineStr">
        <is>
          <t>Øy i sjø</t>
        </is>
      </c>
      <c r="I208" s="2" t="inlineStr">
        <is>
          <t>Tørt landområde atskilt fra fastlandet.</t>
        </is>
      </c>
      <c r="J208" s="12" t="inlineStr">
        <is>
          <t>Tørt landområde atskilt fra fastlandet</t>
        </is>
      </c>
      <c r="K208" s="1" t="inlineStr">
        <is>
          <t>"place = islet", 126
"type = multipolygon", 108
"natural = wood", 8
"natural = coastline", 131
"place = island", 131</t>
        </is>
      </c>
      <c r="L208" s="5" t="inlineStr">
        <is>
          <t>place=island</t>
        </is>
      </c>
      <c r="O208" s="5">
        <f>CONCATENATE(Tabell1[[#This Row],[OSM tag]],";",Tabell1[[#This Row],[tillegg]],";",Tabell1[[#This Row],[fixme]])</f>
        <v/>
      </c>
    </row>
    <row customHeight="1" ht="17" r="209">
      <c r="A209" s="12" t="n">
        <v>4</v>
      </c>
      <c r="B209" s="12" t="inlineStr">
        <is>
          <t>sjø</t>
        </is>
      </c>
      <c r="C209" s="12" t="inlineStr">
        <is>
          <t>kystkontur</t>
        </is>
      </c>
      <c r="D209" s="12" t="n">
        <v>85</v>
      </c>
      <c r="E209" s="12" t="inlineStr">
        <is>
          <t>holmeISjø</t>
        </is>
      </c>
      <c r="F209" t="n">
        <v>19259</v>
      </c>
      <c r="G209" s="12" t="n">
        <v>20058</v>
      </c>
      <c r="H209" s="12" t="inlineStr">
        <is>
          <t>Holme i sjø</t>
        </is>
      </c>
      <c r="I209" s="2" t="inlineStr">
        <is>
          <t>Liten øy.</t>
        </is>
      </c>
      <c r="J209" s="12" t="inlineStr">
        <is>
          <t>Liten øy / lite skjær</t>
        </is>
      </c>
      <c r="K209" s="1" t="inlineStr">
        <is>
          <t>"place = islet", 1339
"type = multipolygon", 108
"natural = coastline", 1196</t>
        </is>
      </c>
      <c r="L209" s="5" t="inlineStr">
        <is>
          <t>place=islet</t>
        </is>
      </c>
      <c r="O209" s="5">
        <f>CONCATENATE(Tabell1[[#This Row],[OSM tag]],";",Tabell1[[#This Row],[tillegg]],";",Tabell1[[#This Row],[fixme]])</f>
        <v/>
      </c>
    </row>
    <row customHeight="1" ht="17" r="210">
      <c r="A210" s="12" t="n">
        <v>4</v>
      </c>
      <c r="B210" s="12" t="inlineStr">
        <is>
          <t>sjø</t>
        </is>
      </c>
      <c r="C210" s="12" t="inlineStr">
        <is>
          <t>kystkontur</t>
        </is>
      </c>
      <c r="D210" s="12" t="n">
        <v>86</v>
      </c>
      <c r="E210" s="12" t="inlineStr">
        <is>
          <t>halvøyISjø</t>
        </is>
      </c>
      <c r="F210" t="n">
        <v>528</v>
      </c>
      <c r="G210" s="12" t="n">
        <v>495</v>
      </c>
      <c r="H210" s="12" t="inlineStr">
        <is>
          <t>Halvøy i sjø</t>
        </is>
      </c>
      <c r="I210" s="2" t="inlineStr">
        <is>
          <t>Større nes med smalt eid mot fastland.</t>
        </is>
      </c>
      <c r="J210" s="12" t="inlineStr">
        <is>
          <t>Større nes med smalt eid mot fastland</t>
        </is>
      </c>
      <c r="K210" s="1" t="inlineStr">
        <is>
          <t>"place = locality", 9
"natural = cape", 50</t>
        </is>
      </c>
      <c r="L210" s="5" t="inlineStr">
        <is>
          <t>natural=cape</t>
        </is>
      </c>
      <c r="O210" s="5">
        <f>CONCATENATE(Tabell1[[#This Row],[OSM tag]],";",Tabell1[[#This Row],[tillegg]],";",Tabell1[[#This Row],[fixme]])</f>
        <v/>
      </c>
    </row>
    <row customHeight="1" ht="17" r="211">
      <c r="A211" s="12" t="n">
        <v>4</v>
      </c>
      <c r="B211" s="12" t="inlineStr">
        <is>
          <t>sjø</t>
        </is>
      </c>
      <c r="C211" s="12" t="inlineStr">
        <is>
          <t>kystkontur</t>
        </is>
      </c>
      <c r="D211" s="12" t="n">
        <v>87</v>
      </c>
      <c r="E211" s="12" t="inlineStr">
        <is>
          <t>nesISjø</t>
        </is>
      </c>
      <c r="F211" t="n">
        <v>23167</v>
      </c>
      <c r="G211" s="12" t="n">
        <v>24024</v>
      </c>
      <c r="H211" s="12" t="inlineStr">
        <is>
          <t>Nes i sjø</t>
        </is>
      </c>
      <c r="I211" s="2" t="inlineStr">
        <is>
          <t>Landområde stikkende ut i sjø.</t>
        </is>
      </c>
      <c r="J211" s="12" t="inlineStr">
        <is>
          <t>Landområde stikkende ut i sjø</t>
        </is>
      </c>
      <c r="K211" s="1" t="inlineStr">
        <is>
          <t>"place = locality", 53
"natural = cape", 902</t>
        </is>
      </c>
      <c r="L211" s="5" t="inlineStr">
        <is>
          <t>natural=cape</t>
        </is>
      </c>
      <c r="M211" s="11" t="n"/>
      <c r="O211" s="5">
        <f>CONCATENATE(Tabell1[[#This Row],[OSM tag]],";",Tabell1[[#This Row],[tillegg]],";",Tabell1[[#This Row],[fixme]])</f>
        <v/>
      </c>
    </row>
    <row customHeight="1" ht="34" r="212">
      <c r="A212" s="12" t="n">
        <v>4</v>
      </c>
      <c r="B212" s="12" t="inlineStr">
        <is>
          <t>sjø</t>
        </is>
      </c>
      <c r="C212" s="12" t="inlineStr">
        <is>
          <t>kystkontur</t>
        </is>
      </c>
      <c r="D212" s="12" t="n">
        <v>88</v>
      </c>
      <c r="E212" s="12" t="inlineStr">
        <is>
          <t>eidISjø</t>
        </is>
      </c>
      <c r="F212" t="n">
        <v>228</v>
      </c>
      <c r="G212" s="12" t="n">
        <v>240</v>
      </c>
      <c r="H212" s="12" t="inlineStr">
        <is>
          <t>Eid i sjø</t>
        </is>
      </c>
      <c r="I212" s="2" t="inlineStr">
        <is>
          <t>Landstripe med sjø på begge sider som binder sammen to landområder.</t>
        </is>
      </c>
      <c r="J212" s="12" t="inlineStr">
        <is>
          <t>Landstripe med sjø på begge sider som binder sammen to landområder</t>
        </is>
      </c>
      <c r="K212" s="1" t="inlineStr">
        <is>
          <t>"place = locality", 3</t>
        </is>
      </c>
      <c r="M212" s="5" t="inlineStr">
        <is>
          <t>place=locality</t>
        </is>
      </c>
      <c r="O212" s="5">
        <f>CONCATENATE(Tabell1[[#This Row],[OSM tag]],";",Tabell1[[#This Row],[tillegg]],";",Tabell1[[#This Row],[fixme]])</f>
        <v/>
      </c>
    </row>
    <row customHeight="1" ht="17" r="213">
      <c r="A213" s="12" t="n">
        <v>4</v>
      </c>
      <c r="B213" s="12" t="inlineStr">
        <is>
          <t>sjø</t>
        </is>
      </c>
      <c r="C213" s="12" t="inlineStr">
        <is>
          <t>kystkontur</t>
        </is>
      </c>
      <c r="D213" s="12" t="n">
        <v>89</v>
      </c>
      <c r="E213" s="12" t="inlineStr">
        <is>
          <t>strandISjø</t>
        </is>
      </c>
      <c r="F213" t="n">
        <v>2306</v>
      </c>
      <c r="G213" s="12" t="n">
        <v>2328</v>
      </c>
      <c r="H213" s="12" t="inlineStr">
        <is>
          <t>Strand i sjø</t>
        </is>
      </c>
      <c r="I213" s="2" t="inlineStr">
        <is>
          <t>Sand-, grus- eller steindekket område i sjøkanten.</t>
        </is>
      </c>
      <c r="J213" s="12" t="inlineStr">
        <is>
          <t>Sand-, grus- eller steindekket område i sjøkanten</t>
        </is>
      </c>
      <c r="K213" s="1" t="inlineStr">
        <is>
          <t>"place = hamlet", 2
"surface = sand", 13
"type = multipolygon", 9
"layer = 2", 7
"place = locality", 30
"natural = beach", 43
"place = isolated_dwelling", 2</t>
        </is>
      </c>
      <c r="L213" s="5" t="inlineStr">
        <is>
          <t>natural=beach</t>
        </is>
      </c>
      <c r="M213" s="12" t="inlineStr">
        <is>
          <t>place=locality</t>
        </is>
      </c>
      <c r="O213" s="5">
        <f>CONCATENATE(Tabell1[[#This Row],[OSM tag]],";",Tabell1[[#This Row],[tillegg]],";",Tabell1[[#This Row],[fixme]])</f>
        <v/>
      </c>
    </row>
    <row customHeight="1" ht="17" r="214">
      <c r="A214" s="12" t="n">
        <v>4</v>
      </c>
      <c r="B214" s="12" t="inlineStr">
        <is>
          <t>sjø</t>
        </is>
      </c>
      <c r="C214" s="12" t="inlineStr">
        <is>
          <t>kystkontur</t>
        </is>
      </c>
      <c r="D214" s="12" t="n">
        <v>215</v>
      </c>
      <c r="E214" s="7" t="inlineStr">
        <is>
          <t>vågISjø</t>
        </is>
      </c>
      <c r="F214" t="n">
        <v>1418</v>
      </c>
      <c r="G214" s="12" t="n">
        <v>1405</v>
      </c>
      <c r="H214" s="12" t="inlineStr">
        <is>
          <t>Våg i sjø</t>
        </is>
      </c>
      <c r="I214" s="2" t="inlineStr">
        <is>
          <t>Fjordarm, større vik.</t>
        </is>
      </c>
      <c r="J214" s="12" t="inlineStr">
        <is>
          <t>Fjordarm, større vik</t>
        </is>
      </c>
      <c r="K214" s="1" t="inlineStr">
        <is>
          <t>"natural = bay", 22</t>
        </is>
      </c>
      <c r="L214" s="5" t="inlineStr">
        <is>
          <t>natural=bay</t>
        </is>
      </c>
      <c r="M214" s="12" t="n"/>
      <c r="O214" s="5">
        <f>CONCATENATE(Tabell1[[#This Row],[OSM tag]],";",Tabell1[[#This Row],[tillegg]],";",Tabell1[[#This Row],[fixme]])</f>
        <v/>
      </c>
    </row>
    <row customHeight="1" ht="17" r="215">
      <c r="A215" s="12" t="n">
        <v>4</v>
      </c>
      <c r="B215" s="12" t="inlineStr">
        <is>
          <t>sjø</t>
        </is>
      </c>
      <c r="C215" s="12" t="inlineStr">
        <is>
          <t>kystkontur</t>
        </is>
      </c>
      <c r="D215" s="12" t="n">
        <v>216</v>
      </c>
      <c r="E215" s="7" t="inlineStr">
        <is>
          <t>øygruppeISjø</t>
        </is>
      </c>
      <c r="F215" t="n">
        <v>378</v>
      </c>
      <c r="G215" s="12" t="n">
        <v>351</v>
      </c>
      <c r="H215" s="12" t="inlineStr">
        <is>
          <t>Øygruppe i sjø</t>
        </is>
      </c>
      <c r="I215" s="2" t="inlineStr">
        <is>
          <t>To eller flere øyer.</t>
        </is>
      </c>
      <c r="J215" s="12" t="inlineStr">
        <is>
          <t>To eller flere øyer. Eks. Hvaler, Lofoten</t>
        </is>
      </c>
      <c r="K215" s="1" t="inlineStr">
        <is>
          <t>"place = islet", 20
"type = multipolygon", 3
"place = archipelago", 2
"natural = cape", 2
"natural = coastline", 20
"place = island", 6</t>
        </is>
      </c>
      <c r="L215" s="5" t="inlineStr">
        <is>
          <t>place=island</t>
        </is>
      </c>
      <c r="O215" s="5">
        <f>CONCATENATE(Tabell1[[#This Row],[OSM tag]],";",Tabell1[[#This Row],[tillegg]],";",Tabell1[[#This Row],[fixme]])</f>
        <v/>
      </c>
    </row>
    <row customHeight="1" ht="17" r="216">
      <c r="A216" s="12" t="n">
        <v>4</v>
      </c>
      <c r="B216" s="12" t="inlineStr">
        <is>
          <t>sjø</t>
        </is>
      </c>
      <c r="C216" s="12" t="inlineStr">
        <is>
          <t>kystkontur</t>
        </is>
      </c>
      <c r="D216" s="12" t="n">
        <v>265</v>
      </c>
      <c r="E216" s="12" t="inlineStr">
        <is>
          <t>holmegruppeISjø</t>
        </is>
      </c>
      <c r="F216" t="n">
        <v>495</v>
      </c>
      <c r="G216" s="12" t="n">
        <v>318</v>
      </c>
      <c r="H216" s="12" t="inlineStr">
        <is>
          <t>Holmegruppe i sjø</t>
        </is>
      </c>
      <c r="I216" s="2" t="inlineStr">
        <is>
          <t>To eller flere små øyer.</t>
        </is>
      </c>
      <c r="J216" s="12" t="inlineStr">
        <is>
          <t>Flere små skjær</t>
        </is>
      </c>
      <c r="K216" s="1" t="inlineStr">
        <is>
          <t>"natural = coastline", 18
"place = islet", 19</t>
        </is>
      </c>
      <c r="L216" s="5" t="inlineStr">
        <is>
          <t>place=islet</t>
        </is>
      </c>
      <c r="M216" s="11" t="n"/>
      <c r="O216" s="5">
        <f>CONCATENATE(Tabell1[[#This Row],[OSM tag]],";",Tabell1[[#This Row],[tillegg]],";",Tabell1[[#This Row],[fixme]])</f>
        <v/>
      </c>
    </row>
    <row customHeight="1" ht="17" r="217">
      <c r="A217" s="12" t="n">
        <v>4</v>
      </c>
      <c r="B217" s="12" t="inlineStr">
        <is>
          <t>sjø</t>
        </is>
      </c>
      <c r="C217" s="12" t="inlineStr">
        <is>
          <t>sjøbunn</t>
        </is>
      </c>
      <c r="D217" s="12" t="n">
        <v>93</v>
      </c>
      <c r="E217" s="12" t="inlineStr">
        <is>
          <t>renneKløftISjø</t>
        </is>
      </c>
      <c r="F217" t="n">
        <v>93</v>
      </c>
      <c r="G217" s="12" t="n">
        <v>109</v>
      </c>
      <c r="H217" s="12" t="inlineStr">
        <is>
          <t>Renne/kløft i sjø</t>
        </is>
      </c>
      <c r="I217" s="2" t="inlineStr">
        <is>
          <t>Undersjøisk dal, kanal, senkning, ravine, fure, spor, rille og lignende</t>
        </is>
      </c>
      <c r="J217" s="12" t="inlineStr">
        <is>
          <t>Undersjøisk dal, kanal, senkning, ravine, fure, spor, rille</t>
        </is>
      </c>
      <c r="K217" s="1" t="inlineStr"/>
      <c r="M217" s="12" t="inlineStr">
        <is>
          <t>place=locality</t>
        </is>
      </c>
      <c r="O217" s="5">
        <f>CONCATENATE(Tabell1[[#This Row],[OSM tag]],";",Tabell1[[#This Row],[tillegg]],";",Tabell1[[#This Row],[fixme]])</f>
        <v/>
      </c>
    </row>
    <row customHeight="1" ht="17" r="218">
      <c r="A218" s="12" t="n">
        <v>4</v>
      </c>
      <c r="B218" s="12" t="inlineStr">
        <is>
          <t>sjø</t>
        </is>
      </c>
      <c r="C218" s="12" t="inlineStr">
        <is>
          <t>sjøbunn</t>
        </is>
      </c>
      <c r="D218" s="12" t="n">
        <v>94</v>
      </c>
      <c r="E218" s="12" t="inlineStr">
        <is>
          <t>bankeISjø</t>
        </is>
      </c>
      <c r="G218" s="12" t="n">
        <v>54</v>
      </c>
      <c r="H218" s="12" t="inlineStr">
        <is>
          <t>Banke i sjø</t>
        </is>
      </c>
      <c r="I218" s="2" t="inlineStr">
        <is>
          <t>Større grunt område i sjøen med dypere vann omkring; fiskegrunn.</t>
        </is>
      </c>
      <c r="J218" s="12" t="inlineStr">
        <is>
          <t>Flatt, større undervannsområde eller flak</t>
        </is>
      </c>
      <c r="K218" s="5" t="n"/>
      <c r="M218" s="11" t="inlineStr">
        <is>
          <t>place=locality</t>
        </is>
      </c>
      <c r="O218" s="5">
        <f>CONCATENATE(Tabell1[[#This Row],[OSM tag]],";",Tabell1[[#This Row],[tillegg]],";",Tabell1[[#This Row],[fixme]])</f>
        <v/>
      </c>
    </row>
    <row customHeight="1" ht="17" r="219">
      <c r="A219" s="12" t="n">
        <v>4</v>
      </c>
      <c r="B219" s="12" t="inlineStr">
        <is>
          <t>sjø</t>
        </is>
      </c>
      <c r="C219" s="12" t="inlineStr">
        <is>
          <t>sjøbunn</t>
        </is>
      </c>
      <c r="D219" s="12" t="n">
        <v>95</v>
      </c>
      <c r="E219" s="12" t="inlineStr">
        <is>
          <t>bakkeISjø</t>
        </is>
      </c>
      <c r="G219" s="12" t="n">
        <v>78</v>
      </c>
      <c r="H219" s="12" t="inlineStr">
        <is>
          <t>Bakke i sjø</t>
        </is>
      </c>
      <c r="I219" s="2" t="inlineStr">
        <is>
          <t>Skrånende sjøbunn.</t>
        </is>
      </c>
      <c r="J219" s="12" t="inlineStr">
        <is>
          <t>Skrånende sjøbunn; skråning</t>
        </is>
      </c>
      <c r="K219" s="5" t="n"/>
      <c r="M219" s="11" t="inlineStr">
        <is>
          <t>place=locality</t>
        </is>
      </c>
      <c r="O219" s="5">
        <f>CONCATENATE(Tabell1[[#This Row],[OSM tag]],";",Tabell1[[#This Row],[tillegg]],";",Tabell1[[#This Row],[fixme]])</f>
        <v/>
      </c>
    </row>
    <row customHeight="1" ht="17" r="220">
      <c r="A220" s="12" t="n">
        <v>4</v>
      </c>
      <c r="B220" s="12" t="inlineStr">
        <is>
          <t>sjø</t>
        </is>
      </c>
      <c r="C220" s="12" t="inlineStr">
        <is>
          <t>sjøbunn</t>
        </is>
      </c>
      <c r="D220" s="12" t="n">
        <v>96</v>
      </c>
      <c r="E220" s="12" t="inlineStr">
        <is>
          <t>søkkISjø</t>
        </is>
      </c>
      <c r="G220" s="12" t="n">
        <v>72</v>
      </c>
      <c r="H220" s="12" t="inlineStr">
        <is>
          <t>Søkk i sjø</t>
        </is>
      </c>
      <c r="I220" s="2" t="inlineStr">
        <is>
          <t>Stor eller liten grop på sjøbunnen.</t>
        </is>
      </c>
      <c r="J220" s="12" t="inlineStr">
        <is>
          <t>Stor eller liten grop på sjøbunnen; hull, høl, åpning</t>
        </is>
      </c>
      <c r="K220" s="5" t="n"/>
      <c r="M220" s="12" t="inlineStr">
        <is>
          <t>place=locality</t>
        </is>
      </c>
      <c r="O220" s="5">
        <f>CONCATENATE(Tabell1[[#This Row],[OSM tag]],";",Tabell1[[#This Row],[tillegg]],";",Tabell1[[#This Row],[fixme]])</f>
        <v/>
      </c>
    </row>
    <row customHeight="1" ht="17" r="221">
      <c r="A221" s="12" t="n">
        <v>4</v>
      </c>
      <c r="B221" s="12" t="inlineStr">
        <is>
          <t>sjø</t>
        </is>
      </c>
      <c r="C221" s="12" t="inlineStr">
        <is>
          <t>sjøbunn</t>
        </is>
      </c>
      <c r="D221" s="12" t="n">
        <v>97</v>
      </c>
      <c r="E221" s="7" t="inlineStr">
        <is>
          <t>havdyp</t>
        </is>
      </c>
      <c r="G221" s="12" t="n">
        <v>39</v>
      </c>
      <c r="H221" s="12" t="inlineStr">
        <is>
          <t>Dyp (havdyp)</t>
        </is>
      </c>
      <c r="I221" s="2" t="inlineStr">
        <is>
          <t>Stort, dypt område i havet.</t>
        </is>
      </c>
      <c r="J221" s="12" t="inlineStr">
        <is>
          <t>Område mer enn 200–300 meter under havflaten</t>
        </is>
      </c>
      <c r="K221" s="5" t="n"/>
      <c r="M221" s="11" t="inlineStr">
        <is>
          <t>place=locality</t>
        </is>
      </c>
      <c r="O221" s="5">
        <f>CONCATENATE(Tabell1[[#This Row],[OSM tag]],";",Tabell1[[#This Row],[tillegg]],";",Tabell1[[#This Row],[fixme]])</f>
        <v/>
      </c>
    </row>
    <row customHeight="1" ht="17" r="222">
      <c r="A222" s="12" t="n">
        <v>4</v>
      </c>
      <c r="B222" s="12" t="inlineStr">
        <is>
          <t>sjø</t>
        </is>
      </c>
      <c r="C222" s="12" t="inlineStr">
        <is>
          <t>sjøbunn</t>
        </is>
      </c>
      <c r="D222" s="12" t="n">
        <v>98</v>
      </c>
      <c r="E222" s="12" t="inlineStr">
        <is>
          <t>ryggISjø</t>
        </is>
      </c>
      <c r="G222" s="12" t="n">
        <v>58</v>
      </c>
      <c r="H222" s="12" t="inlineStr">
        <is>
          <t>Rygg i sjø</t>
        </is>
      </c>
      <c r="I222" s="2" t="inlineStr">
        <is>
          <t>Undersjøisk ås, åskam eller fjellrygg.</t>
        </is>
      </c>
      <c r="J222" s="12" t="inlineStr">
        <is>
          <t>Undersjøisk ås, åskam, fjellrygg</t>
        </is>
      </c>
      <c r="K222" s="5" t="n"/>
      <c r="M222" s="12" t="inlineStr">
        <is>
          <t>place=locality</t>
        </is>
      </c>
      <c r="O222" s="5">
        <f>CONCATENATE(Tabell1[[#This Row],[OSM tag]],";",Tabell1[[#This Row],[tillegg]],";",Tabell1[[#This Row],[fixme]])</f>
        <v/>
      </c>
    </row>
    <row customHeight="1" ht="17" r="223">
      <c r="A223" s="12" t="n">
        <v>4</v>
      </c>
      <c r="B223" s="12" t="inlineStr">
        <is>
          <t>sjø</t>
        </is>
      </c>
      <c r="C223" s="12" t="inlineStr">
        <is>
          <t>sjøbunn</t>
        </is>
      </c>
      <c r="D223" s="12" t="n">
        <v>99</v>
      </c>
      <c r="E223" s="12" t="inlineStr">
        <is>
          <t>eggISjø</t>
        </is>
      </c>
      <c r="G223" s="12" t="n">
        <v>15</v>
      </c>
      <c r="H223" s="12" t="inlineStr">
        <is>
          <t>Egg i sjø</t>
        </is>
      </c>
      <c r="I223" s="2" t="inlineStr">
        <is>
          <t>Undersjøisk kant mot havdyp.</t>
        </is>
      </c>
      <c r="J223" s="12" t="inlineStr">
        <is>
          <t>Undersjøisk kant mot havdyp</t>
        </is>
      </c>
      <c r="K223" s="5" t="n"/>
      <c r="M223" s="12" t="inlineStr">
        <is>
          <t>place=locality</t>
        </is>
      </c>
      <c r="O223" s="5">
        <f>CONCATENATE(Tabell1[[#This Row],[OSM tag]],";",Tabell1[[#This Row],[tillegg]],";",Tabell1[[#This Row],[fixme]])</f>
        <v/>
      </c>
    </row>
    <row customHeight="1" ht="17" r="224">
      <c r="A224" s="12" t="n">
        <v>4</v>
      </c>
      <c r="B224" s="12" t="inlineStr">
        <is>
          <t>sjø</t>
        </is>
      </c>
      <c r="C224" s="12" t="inlineStr">
        <is>
          <t>sjøbunn</t>
        </is>
      </c>
      <c r="D224" s="12" t="n">
        <v>282</v>
      </c>
      <c r="E224" s="12" t="inlineStr">
        <is>
          <t>gass-OljefeltISjø</t>
        </is>
      </c>
      <c r="G224" s="12" t="n">
        <v>21</v>
      </c>
      <c r="H224" s="12" t="inlineStr">
        <is>
          <t>Gass/Oljefelt i sjø</t>
        </is>
      </c>
      <c r="I224" s="2" t="inlineStr">
        <is>
          <t>Navngitt gass- eller oljefelt i havet.</t>
        </is>
      </c>
      <c r="J224" s="12" t="inlineStr">
        <is>
          <t>Gassfelt og oljefelt i havet</t>
        </is>
      </c>
      <c r="K224" s="5" t="n"/>
      <c r="L224" s="5" t="inlineStr">
        <is>
          <t>waterway=offshore_field</t>
        </is>
      </c>
      <c r="O224" s="5">
        <f>CONCATENATE(Tabell1[[#This Row],[OSM tag]],";",Tabell1[[#This Row],[tillegg]],";",Tabell1[[#This Row],[fixme]])</f>
        <v/>
      </c>
      <c r="P224" s="5" t="inlineStr">
        <is>
          <t>?</t>
        </is>
      </c>
    </row>
    <row customHeight="1" ht="17" r="225">
      <c r="B225" s="12" t="inlineStr">
        <is>
          <t>sjø</t>
        </is>
      </c>
      <c r="C225" s="12" t="inlineStr">
        <is>
          <t>sjøbunn</t>
        </is>
      </c>
      <c r="E225" s="12" t="inlineStr">
        <is>
          <t>bakketoppISjø</t>
        </is>
      </c>
      <c r="I225" s="16" t="inlineStr">
        <is>
          <t>Undersjøisk knaus, kolle eller haug.</t>
        </is>
      </c>
      <c r="J225" s="12" t="n"/>
      <c r="K225" s="5" t="n"/>
      <c r="M225" s="12" t="inlineStr">
        <is>
          <t>place=locality</t>
        </is>
      </c>
      <c r="O225" s="5">
        <f>CONCATENATE(Tabell1[[#This Row],[OSM tag]],";",Tabell1[[#This Row],[tillegg]],";",Tabell1[[#This Row],[fixme]])</f>
        <v/>
      </c>
    </row>
    <row customHeight="1" ht="17" r="226">
      <c r="B226" s="12" t="inlineStr">
        <is>
          <t>sjø</t>
        </is>
      </c>
      <c r="C226" s="12" t="inlineStr">
        <is>
          <t>sjøbunn</t>
        </is>
      </c>
      <c r="E226" s="12" t="inlineStr">
        <is>
          <t>fjelltoppISjø</t>
        </is>
      </c>
      <c r="I226" s="3" t="inlineStr">
        <is>
          <t>Undersjøisk fjelltopp.</t>
        </is>
      </c>
      <c r="J226" s="12" t="n"/>
      <c r="K226" s="5" t="n"/>
      <c r="M226" s="12" t="inlineStr">
        <is>
          <t>place=locality</t>
        </is>
      </c>
      <c r="O226" s="5">
        <f>CONCATENATE(Tabell1[[#This Row],[OSM tag]],";",Tabell1[[#This Row],[tillegg]],";",Tabell1[[#This Row],[fixme]])</f>
        <v/>
      </c>
    </row>
    <row customHeight="1" ht="17" r="227">
      <c r="B227" s="12" t="inlineStr">
        <is>
          <t>sjø</t>
        </is>
      </c>
      <c r="C227" s="12" t="inlineStr">
        <is>
          <t>sjøbunn</t>
        </is>
      </c>
      <c r="E227" s="12" t="inlineStr">
        <is>
          <t>hylleISjø</t>
        </is>
      </c>
      <c r="I227" s="2" t="inlineStr">
        <is>
          <t>Undersjøisk benk; klippeavsats, kant, fremspring, avsats.</t>
        </is>
      </c>
      <c r="J227" s="12" t="n"/>
      <c r="K227" s="5" t="n"/>
      <c r="M227" s="10" t="inlineStr">
        <is>
          <t>place=locality</t>
        </is>
      </c>
      <c r="O227" s="5">
        <f>CONCATENATE(Tabell1[[#This Row],[OSM tag]],";",Tabell1[[#This Row],[tillegg]],";",Tabell1[[#This Row],[fixme]])</f>
        <v/>
      </c>
    </row>
    <row customHeight="1" ht="17" r="228">
      <c r="B228" s="12" t="inlineStr">
        <is>
          <t>sjø</t>
        </is>
      </c>
      <c r="C228" s="12" t="inlineStr">
        <is>
          <t>sjøbunn</t>
        </is>
      </c>
      <c r="E228" s="12" t="inlineStr">
        <is>
          <t>korallrev</t>
        </is>
      </c>
      <c r="I228" s="2" t="inlineStr">
        <is>
          <t>Rev som er dannet av koraller.</t>
        </is>
      </c>
      <c r="J228" s="12" t="n"/>
      <c r="K228" s="5" t="n"/>
      <c r="L228" s="5" t="inlineStr">
        <is>
          <t>natural=reef</t>
        </is>
      </c>
      <c r="M228" s="12" t="inlineStr">
        <is>
          <t>place=locality</t>
        </is>
      </c>
      <c r="O228" s="5">
        <f>CONCATENATE(Tabell1[[#This Row],[OSM tag]],";",Tabell1[[#This Row],[tillegg]],";",Tabell1[[#This Row],[fixme]])</f>
        <v/>
      </c>
    </row>
    <row customHeight="1" ht="17" r="229">
      <c r="B229" s="12" t="inlineStr">
        <is>
          <t>sjø</t>
        </is>
      </c>
      <c r="C229" s="12" t="inlineStr">
        <is>
          <t>sjøbunn</t>
        </is>
      </c>
      <c r="E229" s="12" t="inlineStr">
        <is>
          <t>moreneryggISjø</t>
        </is>
      </c>
      <c r="I229" s="2" t="inlineStr">
        <is>
          <t>Marin israndavsetning.</t>
        </is>
      </c>
      <c r="J229" s="12" t="n"/>
      <c r="K229" s="5" t="n"/>
      <c r="L229" s="9" t="n"/>
      <c r="M229" s="10" t="inlineStr">
        <is>
          <t>place=locality</t>
        </is>
      </c>
      <c r="O229" s="5">
        <f>CONCATENATE(Tabell1[[#This Row],[OSM tag]],";",Tabell1[[#This Row],[tillegg]],";",Tabell1[[#This Row],[fixme]])</f>
        <v/>
      </c>
    </row>
    <row customHeight="1" ht="17" r="230">
      <c r="B230" s="12" t="inlineStr">
        <is>
          <t>sjø</t>
        </is>
      </c>
      <c r="C230" s="12" t="inlineStr">
        <is>
          <t>sjøbunn</t>
        </is>
      </c>
      <c r="E230" s="7" t="inlineStr">
        <is>
          <t>platåISjø</t>
        </is>
      </c>
      <c r="I230" s="3" t="inlineStr">
        <is>
          <t>Stor, flat forhøyning som skiller seg fra havbunnen omkring.</t>
        </is>
      </c>
      <c r="J230" s="12" t="n"/>
      <c r="K230" s="5" t="n"/>
      <c r="M230" s="10" t="inlineStr">
        <is>
          <t>place=locality</t>
        </is>
      </c>
      <c r="O230" s="5">
        <f>CONCATENATE(Tabell1[[#This Row],[OSM tag]],";",Tabell1[[#This Row],[tillegg]],";",Tabell1[[#This Row],[fixme]])</f>
        <v/>
      </c>
    </row>
    <row customHeight="1" ht="17" r="231">
      <c r="B231" s="12" t="inlineStr">
        <is>
          <t>sjø</t>
        </is>
      </c>
      <c r="C231" s="12" t="inlineStr">
        <is>
          <t>sjøbunn</t>
        </is>
      </c>
      <c r="E231" s="12" t="inlineStr">
        <is>
          <t>rasISjø</t>
        </is>
      </c>
      <c r="I231" s="2" t="inlineStr">
        <is>
          <t>Undersjøisk rasområde med stein, jord, sand eller leire.</t>
        </is>
      </c>
      <c r="J231" s="12" t="n"/>
      <c r="K231" s="5" t="n"/>
      <c r="M231" s="10" t="inlineStr">
        <is>
          <t>place=locality</t>
        </is>
      </c>
      <c r="O231" s="5">
        <f>CONCATENATE(Tabell1[[#This Row],[OSM tag]],";",Tabell1[[#This Row],[tillegg]],";",Tabell1[[#This Row],[fixme]])</f>
        <v/>
      </c>
    </row>
    <row customHeight="1" ht="17" r="232">
      <c r="B232" s="12" t="inlineStr">
        <is>
          <t>sjø</t>
        </is>
      </c>
      <c r="C232" s="12" t="inlineStr">
        <is>
          <t>sjøbunn</t>
        </is>
      </c>
      <c r="E232" s="12" t="inlineStr">
        <is>
          <t>sadelISjø</t>
        </is>
      </c>
      <c r="I232" s="3" t="inlineStr">
        <is>
          <t>Undersjøisk skar mellom to høyere topper/rygger.</t>
        </is>
      </c>
      <c r="J232" s="12" t="n"/>
      <c r="K232" s="5" t="n"/>
      <c r="M232" s="12" t="inlineStr">
        <is>
          <t>place=locality</t>
        </is>
      </c>
      <c r="O232" s="5">
        <f>CONCATENATE(Tabell1[[#This Row],[OSM tag]],";",Tabell1[[#This Row],[tillegg]],";",Tabell1[[#This Row],[fixme]])</f>
        <v/>
      </c>
    </row>
    <row customHeight="1" ht="17" r="233">
      <c r="B233" s="12" t="inlineStr">
        <is>
          <t>sjø</t>
        </is>
      </c>
      <c r="C233" s="12" t="inlineStr">
        <is>
          <t>sjøbunn</t>
        </is>
      </c>
      <c r="E233" s="12" t="inlineStr">
        <is>
          <t>sokkelISjø</t>
        </is>
      </c>
      <c r="I233" s="2" t="inlineStr">
        <is>
          <t>Undersjøisk fjellfot.</t>
        </is>
      </c>
      <c r="J233" s="12" t="n"/>
      <c r="K233" s="5" t="n"/>
      <c r="M233" s="12" t="inlineStr">
        <is>
          <t>place=locality</t>
        </is>
      </c>
      <c r="O233" s="5">
        <f>CONCATENATE(Tabell1[[#This Row],[OSM tag]],";",Tabell1[[#This Row],[tillegg]],";",Tabell1[[#This Row],[fixme]])</f>
        <v/>
      </c>
    </row>
    <row customHeight="1" ht="17" r="234">
      <c r="B234" s="12" t="inlineStr">
        <is>
          <t>sjø</t>
        </is>
      </c>
      <c r="C234" s="12" t="inlineStr">
        <is>
          <t>sjøbunn</t>
        </is>
      </c>
      <c r="E234" s="7" t="inlineStr">
        <is>
          <t>undersjøiskVegg</t>
        </is>
      </c>
      <c r="H234" s="12" t="inlineStr">
        <is>
          <t>Fjellside i havet.</t>
        </is>
      </c>
      <c r="J234" s="12" t="n"/>
      <c r="K234" s="5" t="n"/>
      <c r="M234" s="12" t="inlineStr">
        <is>
          <t>place=locality</t>
        </is>
      </c>
      <c r="O234" s="5">
        <f>CONCATENATE(Tabell1[[#This Row],[OSM tag]],";",Tabell1[[#This Row],[tillegg]],";",Tabell1[[#This Row],[fixme]])</f>
        <v/>
      </c>
    </row>
    <row customHeight="1" ht="17" r="235">
      <c r="B235" s="12" t="inlineStr">
        <is>
          <t>sjø</t>
        </is>
      </c>
      <c r="C235" s="12" t="inlineStr">
        <is>
          <t>sjøbunn</t>
        </is>
      </c>
      <c r="E235" s="7" t="inlineStr">
        <is>
          <t>vulkanISjø</t>
        </is>
      </c>
      <c r="I235" s="2" t="inlineStr">
        <is>
          <t>Vulkan eller slamvulkan på havbunnen.</t>
        </is>
      </c>
      <c r="J235" s="12" t="n"/>
      <c r="K235" s="5" t="n"/>
      <c r="M235" s="12" t="inlineStr">
        <is>
          <t>place=locality</t>
        </is>
      </c>
      <c r="O235" s="5">
        <f>CONCATENATE(Tabell1[[#This Row],[OSM tag]],";",Tabell1[[#This Row],[tillegg]],";",Tabell1[[#This Row],[fixme]])</f>
        <v/>
      </c>
    </row>
    <row customHeight="1" ht="17" r="236">
      <c r="A236" s="12" t="n">
        <v>1</v>
      </c>
      <c r="B236" s="12" t="inlineStr">
        <is>
          <t>terreng</t>
        </is>
      </c>
      <c r="C236" s="12" t="inlineStr">
        <is>
          <t>flater</t>
        </is>
      </c>
      <c r="D236" s="12" t="n">
        <v>13</v>
      </c>
      <c r="E236" s="12" t="inlineStr">
        <is>
          <t>slette</t>
        </is>
      </c>
      <c r="F236" t="n">
        <v>7898</v>
      </c>
      <c r="G236" s="12" t="n">
        <v>7739</v>
      </c>
      <c r="H236" s="12" t="inlineStr">
        <is>
          <t>Slette</t>
        </is>
      </c>
      <c r="I236" s="2" t="inlineStr">
        <is>
          <t>Åpent, flatt område.</t>
        </is>
      </c>
      <c r="J236" s="12" t="inlineStr">
        <is>
          <t>Åpent, flatt, ikke skogbevokst, område</t>
        </is>
      </c>
      <c r="K236" s="1" t="inlineStr">
        <is>
          <t>"place = locality", 50</t>
        </is>
      </c>
      <c r="L236" s="2" t="n"/>
      <c r="M236" s="12" t="inlineStr">
        <is>
          <t>place=locality</t>
        </is>
      </c>
      <c r="O236" s="5">
        <f>CONCATENATE(Tabell1[[#This Row],[OSM tag]],";",Tabell1[[#This Row],[tillegg]],";",Tabell1[[#This Row],[fixme]])</f>
        <v/>
      </c>
    </row>
    <row customHeight="1" ht="17" r="237">
      <c r="A237" s="12" t="n">
        <v>1</v>
      </c>
      <c r="B237" s="12" t="inlineStr">
        <is>
          <t>terreng</t>
        </is>
      </c>
      <c r="C237" s="12" t="inlineStr">
        <is>
          <t>flater</t>
        </is>
      </c>
      <c r="D237" s="12" t="n">
        <v>14</v>
      </c>
      <c r="E237" s="12" t="inlineStr">
        <is>
          <t>mo</t>
        </is>
      </c>
      <c r="F237" t="n">
        <v>4126</v>
      </c>
      <c r="G237" s="12" t="n">
        <v>4173</v>
      </c>
      <c r="H237" s="12" t="inlineStr">
        <is>
          <t>Mo</t>
        </is>
      </c>
      <c r="I237" s="2" t="inlineStr">
        <is>
          <t>Større, flatt landområde (ofte skogkledd).</t>
        </is>
      </c>
      <c r="J237" s="12" t="inlineStr">
        <is>
          <t>Flatt område, vanligvis skogkledd</t>
        </is>
      </c>
      <c r="K237" s="1" t="inlineStr">
        <is>
          <t>"place = locality", 2</t>
        </is>
      </c>
      <c r="M237" s="12" t="inlineStr">
        <is>
          <t>place=locality</t>
        </is>
      </c>
      <c r="O237" s="5">
        <f>CONCATENATE(Tabell1[[#This Row],[OSM tag]],";",Tabell1[[#This Row],[tillegg]],";",Tabell1[[#This Row],[fixme]])</f>
        <v/>
      </c>
    </row>
    <row customHeight="1" ht="51" r="238">
      <c r="A238" s="12" t="n">
        <v>1</v>
      </c>
      <c r="B238" s="12" t="inlineStr">
        <is>
          <t>terreng</t>
        </is>
      </c>
      <c r="C238" s="12" t="inlineStr">
        <is>
          <t>høyder</t>
        </is>
      </c>
      <c r="D238" s="12" t="n">
        <v>1</v>
      </c>
      <c r="E238" s="12" t="inlineStr">
        <is>
          <t>berg</t>
        </is>
      </c>
      <c r="F238" t="n">
        <v>15313</v>
      </c>
      <c r="G238" s="12" t="n">
        <v>15244</v>
      </c>
      <c r="H238" s="12" t="inlineStr">
        <is>
          <t>Berg</t>
        </is>
      </c>
      <c r="I238" s="2" t="inlineStr">
        <is>
          <t>Markert eller avrunda høyde med stein, steinmasse (med eller uten vegetasjon).</t>
        </is>
      </c>
      <c r="J238" s="12" t="inlineStr">
        <is>
          <t>Mindre fjell</t>
        </is>
      </c>
      <c r="K238" s="1" t="inlineStr">
        <is>
          <t>"natural = peak", 14
"place = locality", 138
"natural = hill", 224</t>
        </is>
      </c>
      <c r="L238" s="2" t="inlineStr">
        <is>
          <t>natural=hill</t>
        </is>
      </c>
      <c r="M238" s="12" t="inlineStr">
        <is>
          <t>place=locality</t>
        </is>
      </c>
      <c r="O238" s="5">
        <f>CONCATENATE(Tabell1[[#This Row],[OSM tag]],";",Tabell1[[#This Row],[tillegg]],";",Tabell1[[#This Row],[fixme]])</f>
        <v/>
      </c>
      <c r="P238" s="5" t="inlineStr">
        <is>
          <t>Natural=peak would have created a lot of noise on the map (example: Lista). Peak is mostly used for large and distinct mountains.</t>
        </is>
      </c>
    </row>
    <row customHeight="1" ht="51" r="239">
      <c r="A239" s="12" t="n">
        <v>1</v>
      </c>
      <c r="B239" s="12" t="inlineStr">
        <is>
          <t>terreng</t>
        </is>
      </c>
      <c r="C239" s="12" t="inlineStr">
        <is>
          <t>høyder</t>
        </is>
      </c>
      <c r="D239" s="12" t="n">
        <v>2</v>
      </c>
      <c r="E239" s="12" t="inlineStr">
        <is>
          <t>fjell</t>
        </is>
      </c>
      <c r="F239" t="n">
        <v>21914</v>
      </c>
      <c r="G239" s="12" t="n">
        <v>22178</v>
      </c>
      <c r="H239" s="12" t="inlineStr">
        <is>
          <t>Fjell</t>
        </is>
      </c>
      <c r="I239" s="2" t="inlineStr">
        <is>
          <t>Høyereliggende område (over tregrensa) med stein og sva og lite vegetasjon som reiser seg over landskapet omkring (med høye berg og nuter).</t>
        </is>
      </c>
      <c r="J239" s="12" t="inlineStr">
        <is>
          <t>Stort fjell</t>
        </is>
      </c>
      <c r="K239" s="1" t="inlineStr">
        <is>
          <t>"natural = peak", 158
"place = locality", 168
"man_made = survey_point", 18
"natural = hill", 170</t>
        </is>
      </c>
      <c r="L239" s="5" t="inlineStr">
        <is>
          <t>natural=hill</t>
        </is>
      </c>
      <c r="M239" s="12" t="inlineStr">
        <is>
          <t>place=locality</t>
        </is>
      </c>
      <c r="N239" s="5" t="inlineStr">
        <is>
          <t>fixme=consider natural=peak for the most distinct mountains in the district</t>
        </is>
      </c>
      <c r="O239" s="5">
        <f>CONCATENATE(Tabell1[[#This Row],[OSM tag]],";",Tabell1[[#This Row],[tillegg]],";",Tabell1[[#This Row],[fixme]])</f>
        <v/>
      </c>
    </row>
    <row customHeight="1" ht="17" r="240">
      <c r="A240" s="12" t="n">
        <v>1</v>
      </c>
      <c r="B240" s="12" t="inlineStr">
        <is>
          <t>terreng</t>
        </is>
      </c>
      <c r="C240" s="12" t="inlineStr">
        <is>
          <t>høyder</t>
        </is>
      </c>
      <c r="D240" s="12" t="n">
        <v>4</v>
      </c>
      <c r="E240" s="12" t="inlineStr">
        <is>
          <t>hei</t>
        </is>
      </c>
      <c r="F240" t="n">
        <v>8804</v>
      </c>
      <c r="G240" s="12" t="n">
        <v>8191</v>
      </c>
      <c r="H240" s="12" t="inlineStr">
        <is>
          <t>Hei</t>
        </is>
      </c>
      <c r="I240" s="2" t="inlineStr">
        <is>
          <t>Berglendt, høyere beliggende område med beitemark.</t>
        </is>
      </c>
      <c r="J240" s="12" t="inlineStr">
        <is>
          <t>Berglendt, høyere beliggende område med beitemark</t>
        </is>
      </c>
      <c r="K240" s="1" t="inlineStr">
        <is>
          <t>"natural = heath", 59
"place = locality", 1484
"natural = hill", 1471</t>
        </is>
      </c>
      <c r="L240" s="5" t="inlineStr">
        <is>
          <t>natural=hill</t>
        </is>
      </c>
      <c r="M240" s="12" t="inlineStr">
        <is>
          <t>place=locality</t>
        </is>
      </c>
      <c r="O240" s="5">
        <f>CONCATENATE(Tabell1[[#This Row],[OSM tag]],";",Tabell1[[#This Row],[tillegg]],";",Tabell1[[#This Row],[fixme]])</f>
        <v/>
      </c>
      <c r="P240" s="5" t="inlineStr">
        <is>
          <t>Heath requires a specific vegetaion</t>
        </is>
      </c>
    </row>
    <row customHeight="1" ht="34" r="241">
      <c r="A241" s="12" t="n">
        <v>1</v>
      </c>
      <c r="B241" s="12" t="inlineStr">
        <is>
          <t>terreng</t>
        </is>
      </c>
      <c r="C241" s="12" t="inlineStr">
        <is>
          <t>høyder</t>
        </is>
      </c>
      <c r="D241" s="12" t="n">
        <v>5</v>
      </c>
      <c r="E241" s="12" t="inlineStr">
        <is>
          <t>høyde</t>
        </is>
      </c>
      <c r="F241" t="n">
        <v>9700</v>
      </c>
      <c r="G241" s="12" t="n">
        <v>9146</v>
      </c>
      <c r="H241" s="12" t="inlineStr">
        <is>
          <t>Høyde</t>
        </is>
      </c>
      <c r="I241" s="2" t="inlineStr">
        <is>
          <t>Høyereliggende terrengform, mindre omfattende enn ås og større enn haug.</t>
        </is>
      </c>
      <c r="J241" s="12" t="inlineStr">
        <is>
          <t>Mindre terrengform som ikke vurderes som fjell</t>
        </is>
      </c>
      <c r="K241" s="1" t="inlineStr">
        <is>
          <t>"place = locality", 607
"natural = hill", 908</t>
        </is>
      </c>
      <c r="L241" s="5" t="inlineStr">
        <is>
          <t>natural=hill</t>
        </is>
      </c>
      <c r="M241" s="12" t="inlineStr">
        <is>
          <t>place=locality</t>
        </is>
      </c>
      <c r="O241" s="5">
        <f>CONCATENATE(Tabell1[[#This Row],[OSM tag]],";",Tabell1[[#This Row],[tillegg]],";",Tabell1[[#This Row],[fixme]])</f>
        <v/>
      </c>
    </row>
    <row customHeight="1" ht="51" r="242">
      <c r="A242" s="12" t="n">
        <v>1</v>
      </c>
      <c r="B242" s="12" t="inlineStr">
        <is>
          <t>terreng</t>
        </is>
      </c>
      <c r="C242" s="12" t="inlineStr">
        <is>
          <t>høyder</t>
        </is>
      </c>
      <c r="D242" s="12" t="n">
        <v>6</v>
      </c>
      <c r="E242" s="7" t="inlineStr">
        <is>
          <t>ås</t>
        </is>
      </c>
      <c r="F242" t="n">
        <v>57743</v>
      </c>
      <c r="G242" s="12" t="n">
        <v>57885</v>
      </c>
      <c r="H242" s="12" t="inlineStr">
        <is>
          <t>Ås</t>
        </is>
      </c>
      <c r="I242" s="2" t="inlineStr">
        <is>
          <t>Langstrakt høydedrag.</t>
        </is>
      </c>
      <c r="J242" s="12" t="inlineStr">
        <is>
          <t>Langstrakt høydedrag</t>
        </is>
      </c>
      <c r="K242" s="1" t="inlineStr">
        <is>
          <t>"natural = peak", 383
"place = locality", 1761
"natural = ridge", 289
"natural = hill", 3119</t>
        </is>
      </c>
      <c r="L242" s="5" t="inlineStr">
        <is>
          <t>natural=hill</t>
        </is>
      </c>
      <c r="M242" s="12" t="inlineStr">
        <is>
          <t>place=locality</t>
        </is>
      </c>
      <c r="N242" s="5" t="inlineStr">
        <is>
          <t>fixme=consider natural=peak for the most distinct mountains in the district</t>
        </is>
      </c>
      <c r="O242" s="5">
        <f>CONCATENATE(Tabell1[[#This Row],[OSM tag]],";",Tabell1[[#This Row],[tillegg]],";",Tabell1[[#This Row],[fixme]])</f>
        <v/>
      </c>
      <c r="P242" s="5" t="inlineStr">
        <is>
          <t>"Ås" is more similar to a hill than to a ridge</t>
        </is>
      </c>
    </row>
    <row customHeight="1" ht="17" r="243">
      <c r="A243" s="12" t="n">
        <v>1</v>
      </c>
      <c r="B243" s="12" t="inlineStr">
        <is>
          <t>terreng</t>
        </is>
      </c>
      <c r="C243" s="12" t="inlineStr">
        <is>
          <t>høyder</t>
        </is>
      </c>
      <c r="D243" s="12" t="n">
        <v>7</v>
      </c>
      <c r="E243" s="12" t="inlineStr">
        <is>
          <t>rygg</t>
        </is>
      </c>
      <c r="F243" t="n">
        <v>6893</v>
      </c>
      <c r="G243" s="12" t="n">
        <v>6752</v>
      </c>
      <c r="H243" s="12" t="inlineStr">
        <is>
          <t>Rygg</t>
        </is>
      </c>
      <c r="I243" s="2" t="inlineStr">
        <is>
          <t>Langstrakt terrengform.</t>
        </is>
      </c>
      <c r="J243" s="12" t="inlineStr">
        <is>
          <t>Langstrakt terrengform</t>
        </is>
      </c>
      <c r="K243" s="1" t="inlineStr">
        <is>
          <t>"place = locality", 146
"natural = ridge", 201
"natural = hill", 67</t>
        </is>
      </c>
      <c r="L243" s="5" t="inlineStr">
        <is>
          <t>natural=ridge</t>
        </is>
      </c>
      <c r="M243" s="12" t="inlineStr">
        <is>
          <t>place=locality</t>
        </is>
      </c>
      <c r="O243" s="5">
        <f>CONCATENATE(Tabell1[[#This Row],[OSM tag]],";",Tabell1[[#This Row],[tillegg]],";",Tabell1[[#This Row],[fixme]])</f>
        <v/>
      </c>
    </row>
    <row customHeight="1" ht="17" r="244">
      <c r="A244" s="12" t="n">
        <v>1</v>
      </c>
      <c r="B244" s="12" t="inlineStr">
        <is>
          <t>terreng</t>
        </is>
      </c>
      <c r="C244" s="12" t="inlineStr">
        <is>
          <t>høyder</t>
        </is>
      </c>
      <c r="D244" s="12" t="n">
        <v>8</v>
      </c>
      <c r="E244" s="12" t="inlineStr">
        <is>
          <t>haug</t>
        </is>
      </c>
      <c r="F244" t="n">
        <v>48488</v>
      </c>
      <c r="G244" s="12" t="n">
        <v>48481</v>
      </c>
      <c r="H244" s="12" t="inlineStr">
        <is>
          <t>Haug</t>
        </is>
      </c>
      <c r="I244" s="2" t="inlineStr">
        <is>
          <t>Liten, markant forhøynet terrengform.</t>
        </is>
      </c>
      <c r="J244" s="12" t="inlineStr">
        <is>
          <t>Liten, markant terrengform</t>
        </is>
      </c>
      <c r="K244" s="1" t="inlineStr">
        <is>
          <t>"place = locality", 742
"natural = peak", 122
"natural = hill", 1063</t>
        </is>
      </c>
      <c r="L244" s="5" t="inlineStr">
        <is>
          <t>natural=hill</t>
        </is>
      </c>
      <c r="M244" s="12" t="inlineStr">
        <is>
          <t>place=locality</t>
        </is>
      </c>
      <c r="O244" s="5">
        <f>CONCATENATE(Tabell1[[#This Row],[OSM tag]],";",Tabell1[[#This Row],[tillegg]],";",Tabell1[[#This Row],[fixme]])</f>
        <v/>
      </c>
    </row>
    <row customHeight="1" ht="34" r="245">
      <c r="A245" s="12" t="n">
        <v>1</v>
      </c>
      <c r="B245" s="12" t="inlineStr">
        <is>
          <t>terreng</t>
        </is>
      </c>
      <c r="C245" s="12" t="inlineStr">
        <is>
          <t>høyder</t>
        </is>
      </c>
      <c r="D245" s="12" t="n">
        <v>211</v>
      </c>
      <c r="E245" s="7" t="inlineStr">
        <is>
          <t>topp</t>
        </is>
      </c>
      <c r="F245" t="n">
        <v>1813</v>
      </c>
      <c r="G245" s="12" t="n">
        <v>1648</v>
      </c>
      <c r="H245" s="12" t="inlineStr">
        <is>
          <t>Topp (fjelltopp/tind)</t>
        </is>
      </c>
      <c r="I245" s="2" t="inlineStr">
        <is>
          <t>Tind, markant topp på fjell, berg, ås osv.</t>
        </is>
      </c>
      <c r="J245" s="12" t="inlineStr">
        <is>
          <t>Øverste fjelltopp</t>
        </is>
      </c>
      <c r="K245" s="1" t="inlineStr">
        <is>
          <t>"natural = peak", 23
"natural = hill", 17</t>
        </is>
      </c>
      <c r="L245" s="5" t="inlineStr">
        <is>
          <t>natural=hill</t>
        </is>
      </c>
      <c r="N245" s="5" t="inlineStr">
        <is>
          <t>fixme=consider natural=peak for the most distinct mountains in the district</t>
        </is>
      </c>
      <c r="O245" s="5">
        <f>CONCATENATE(Tabell1[[#This Row],[OSM tag]],";",Tabell1[[#This Row],[tillegg]],";",Tabell1[[#This Row],[fixme]])</f>
        <v/>
      </c>
      <c r="P245" s="5" t="inlineStr">
        <is>
          <t>Also less significant hills in the dataset</t>
        </is>
      </c>
    </row>
    <row customHeight="1" ht="17" r="246">
      <c r="A246" s="12" t="n">
        <v>1</v>
      </c>
      <c r="B246" s="12" t="inlineStr">
        <is>
          <t>terreng</t>
        </is>
      </c>
      <c r="C246" s="12" t="inlineStr">
        <is>
          <t>høyder</t>
        </is>
      </c>
      <c r="D246" s="12" t="n">
        <v>245</v>
      </c>
      <c r="E246" s="12" t="inlineStr">
        <is>
          <t>fjellkant</t>
        </is>
      </c>
      <c r="F246" t="n">
        <v>1196</v>
      </c>
      <c r="G246" s="12" t="n">
        <v>1076</v>
      </c>
      <c r="H246" s="12" t="inlineStr">
        <is>
          <t>Fjellkant (aksel)</t>
        </is>
      </c>
      <c r="I246" s="2" t="inlineStr">
        <is>
          <t>Aksel, skulder, nese og bryn.</t>
        </is>
      </c>
      <c r="J246" s="12" t="inlineStr">
        <is>
          <t>Skulder, nese, bryn</t>
        </is>
      </c>
      <c r="K246" s="1" t="inlineStr"/>
      <c r="M246" s="12" t="inlineStr">
        <is>
          <t>place=locality</t>
        </is>
      </c>
      <c r="O246" s="5">
        <f>CONCATENATE(Tabell1[[#This Row],[OSM tag]],";",Tabell1[[#This Row],[tillegg]],";",Tabell1[[#This Row],[fixme]])</f>
        <v/>
      </c>
    </row>
    <row customHeight="1" ht="17" r="247">
      <c r="A247" s="12" t="n">
        <v>1</v>
      </c>
      <c r="B247" s="12" t="inlineStr">
        <is>
          <t>terreng</t>
        </is>
      </c>
      <c r="C247" s="12" t="inlineStr">
        <is>
          <t>senkninger</t>
        </is>
      </c>
      <c r="D247" s="12" t="n">
        <v>15</v>
      </c>
      <c r="E247" s="12" t="inlineStr">
        <is>
          <t>dalføre</t>
        </is>
      </c>
      <c r="G247" s="12" t="n">
        <v>251</v>
      </c>
      <c r="H247" s="12" t="inlineStr">
        <is>
          <t>Dalføre</t>
        </is>
      </c>
      <c r="I247" s="2" t="inlineStr">
        <is>
          <t>Stor dal med sidedaler.</t>
        </is>
      </c>
      <c r="J247" s="12" t="inlineStr">
        <is>
          <t>Stor dal med sidedaler. Eks. Gudbrandsdalen, Namdalen, Setesdal, Valdres</t>
        </is>
      </c>
      <c r="K247" s="5" t="n"/>
      <c r="L247" s="5" t="inlineStr">
        <is>
          <t>natural=valley</t>
        </is>
      </c>
      <c r="M247" s="12" t="inlineStr">
        <is>
          <t>place=locality</t>
        </is>
      </c>
      <c r="O247" s="5">
        <f>CONCATENATE(Tabell1[[#This Row],[OSM tag]],";",Tabell1[[#This Row],[tillegg]],";",Tabell1[[#This Row],[fixme]])</f>
        <v/>
      </c>
    </row>
    <row customHeight="1" ht="17" r="248">
      <c r="A248" s="12" t="n">
        <v>1</v>
      </c>
      <c r="B248" s="12" t="inlineStr">
        <is>
          <t>terreng</t>
        </is>
      </c>
      <c r="C248" s="12" t="inlineStr">
        <is>
          <t>senkninger</t>
        </is>
      </c>
      <c r="D248" s="12" t="n">
        <v>16</v>
      </c>
      <c r="E248" s="12" t="inlineStr">
        <is>
          <t>dal</t>
        </is>
      </c>
      <c r="F248" t="n">
        <v>39269</v>
      </c>
      <c r="G248" s="12" t="n">
        <v>38753</v>
      </c>
      <c r="H248" s="12" t="inlineStr">
        <is>
          <t>Dal</t>
        </is>
      </c>
      <c r="I248" s="2" t="inlineStr">
        <is>
          <t>Mellomstor eller liten dal.</t>
        </is>
      </c>
      <c r="J248" s="12" t="inlineStr">
        <is>
          <t>Mellomstor eller liten dal</t>
        </is>
      </c>
      <c r="K248" s="1" t="inlineStr">
        <is>
          <t>"place = locality", 759
"natural = valley", 1096</t>
        </is>
      </c>
      <c r="L248" s="5" t="inlineStr">
        <is>
          <t>natural=valley</t>
        </is>
      </c>
      <c r="M248" s="12" t="inlineStr">
        <is>
          <t>place=locality</t>
        </is>
      </c>
      <c r="O248" s="5">
        <f>CONCATENATE(Tabell1[[#This Row],[OSM tag]],";",Tabell1[[#This Row],[tillegg]],";",Tabell1[[#This Row],[fixme]])</f>
        <v/>
      </c>
    </row>
    <row customHeight="1" ht="17" r="249">
      <c r="A249" s="12" t="n">
        <v>1</v>
      </c>
      <c r="B249" s="12" t="inlineStr">
        <is>
          <t>terreng</t>
        </is>
      </c>
      <c r="C249" s="12" t="inlineStr">
        <is>
          <t>senkninger</t>
        </is>
      </c>
      <c r="D249" s="12" t="n">
        <v>17</v>
      </c>
      <c r="E249" s="12" t="inlineStr">
        <is>
          <t>botn</t>
        </is>
      </c>
      <c r="F249" t="n">
        <v>6642</v>
      </c>
      <c r="G249" s="12" t="n">
        <v>6491</v>
      </c>
      <c r="H249" s="12" t="inlineStr">
        <is>
          <t>Botn</t>
        </is>
      </c>
      <c r="I249" s="2" t="inlineStr">
        <is>
          <t>Innerste del av en dal; rundaktig, bratt dal eller uthulning i fjellet.</t>
        </is>
      </c>
      <c r="J249" s="12" t="inlineStr">
        <is>
          <t>Innerste del av dal; rundaktig, bratt dal el. uthulning i fjellet</t>
        </is>
      </c>
      <c r="K249" s="1" t="inlineStr">
        <is>
          <t>"natural = valley", 31
"place = locality", 36</t>
        </is>
      </c>
      <c r="L249" s="5" t="inlineStr">
        <is>
          <t>natural=valley</t>
        </is>
      </c>
      <c r="M249" s="12" t="inlineStr">
        <is>
          <t>place=locality</t>
        </is>
      </c>
      <c r="O249" s="5">
        <f>CONCATENATE(Tabell1[[#This Row],[OSM tag]],";",Tabell1[[#This Row],[tillegg]],";",Tabell1[[#This Row],[fixme]])</f>
        <v/>
      </c>
    </row>
    <row customHeight="1" ht="17" r="250">
      <c r="A250" s="12" t="n">
        <v>1</v>
      </c>
      <c r="B250" s="12" t="inlineStr">
        <is>
          <t>terreng</t>
        </is>
      </c>
      <c r="C250" s="12" t="inlineStr">
        <is>
          <t>senkninger</t>
        </is>
      </c>
      <c r="D250" s="12" t="n">
        <v>18</v>
      </c>
      <c r="E250" s="12" t="inlineStr">
        <is>
          <t>skar</t>
        </is>
      </c>
      <c r="F250" t="n">
        <v>10959</v>
      </c>
      <c r="G250" s="12" t="n">
        <v>11649</v>
      </c>
      <c r="H250" s="12" t="inlineStr">
        <is>
          <t>Skar</t>
        </is>
      </c>
      <c r="I250" s="2" t="inlineStr">
        <is>
          <t>Markant senkning i fjell eller berg.</t>
        </is>
      </c>
      <c r="J250" s="12" t="inlineStr">
        <is>
          <t>Markant senkning i fjell el. berg</t>
        </is>
      </c>
      <c r="K250" s="1" t="inlineStr">
        <is>
          <t>"natural = valley", 72
"place = locality", 55
"natural = saddle", 3</t>
        </is>
      </c>
      <c r="L250" s="2" t="inlineStr">
        <is>
          <t>natural=valley</t>
        </is>
      </c>
      <c r="M250" s="12" t="inlineStr">
        <is>
          <t>place=locality</t>
        </is>
      </c>
      <c r="O250" s="5">
        <f>CONCATENATE(Tabell1[[#This Row],[OSM tag]],";",Tabell1[[#This Row],[tillegg]],";",Tabell1[[#This Row],[fixme]])</f>
        <v/>
      </c>
    </row>
    <row customHeight="1" ht="17" r="251">
      <c r="A251" s="12" t="n">
        <v>1</v>
      </c>
      <c r="B251" s="12" t="inlineStr">
        <is>
          <t>terreng</t>
        </is>
      </c>
      <c r="C251" s="12" t="inlineStr">
        <is>
          <t>senkninger</t>
        </is>
      </c>
      <c r="D251" s="12" t="n">
        <v>19</v>
      </c>
      <c r="E251" s="12" t="inlineStr">
        <is>
          <t>juv</t>
        </is>
      </c>
      <c r="F251" t="n">
        <v>2003</v>
      </c>
      <c r="G251" s="12" t="n">
        <v>1747</v>
      </c>
      <c r="H251" s="12" t="inlineStr">
        <is>
          <t>Juv</t>
        </is>
      </c>
      <c r="I251" s="2" t="inlineStr">
        <is>
          <t>Kløftlignende dal eller canyon.</t>
        </is>
      </c>
      <c r="J251" s="12" t="inlineStr">
        <is>
          <t>Kløftlignende dal, canyon</t>
        </is>
      </c>
      <c r="K251" s="1" t="inlineStr">
        <is>
          <t>"natural = gorge", 4</t>
        </is>
      </c>
      <c r="L251" s="5" t="inlineStr">
        <is>
          <t>natural=gorge</t>
        </is>
      </c>
      <c r="O251" s="5">
        <f>CONCATENATE(Tabell1[[#This Row],[OSM tag]],";",Tabell1[[#This Row],[tillegg]],";",Tabell1[[#This Row],[fixme]])</f>
        <v/>
      </c>
    </row>
    <row customHeight="1" ht="17" r="252">
      <c r="A252" s="12" t="n">
        <v>1</v>
      </c>
      <c r="B252" s="12" t="inlineStr">
        <is>
          <t>terreng</t>
        </is>
      </c>
      <c r="C252" s="12" t="inlineStr">
        <is>
          <t>senkninger</t>
        </is>
      </c>
      <c r="D252" s="12" t="n">
        <v>20</v>
      </c>
      <c r="E252" s="7" t="inlineStr">
        <is>
          <t>søkk</t>
        </is>
      </c>
      <c r="F252" t="n">
        <v>3203</v>
      </c>
      <c r="G252" s="12" t="n">
        <v>2948</v>
      </c>
      <c r="H252" s="12" t="inlineStr">
        <is>
          <t>Søkk</t>
        </is>
      </c>
      <c r="I252" s="2" t="inlineStr">
        <is>
          <t>Mindre markant, begrenset fordypning.</t>
        </is>
      </c>
      <c r="J252" s="12" t="inlineStr">
        <is>
          <t>Mindre markant, begrenset fordypning</t>
        </is>
      </c>
      <c r="K252" s="1" t="inlineStr">
        <is>
          <t>"natural = wetland", 3
"wetland = bog", 2
"natural = valley", 43
"place = locality", 32</t>
        </is>
      </c>
      <c r="L252" s="5" t="inlineStr">
        <is>
          <t>natural=valley</t>
        </is>
      </c>
      <c r="M252" s="12" t="inlineStr">
        <is>
          <t>place=locality</t>
        </is>
      </c>
      <c r="N252" s="5" t="inlineStr">
        <is>
          <t xml:space="preserve"> </t>
        </is>
      </c>
      <c r="O252" s="5">
        <f>CONCATENATE(Tabell1[[#This Row],[OSM tag]],";",Tabell1[[#This Row],[tillegg]],";",Tabell1[[#This Row],[fixme]])</f>
        <v/>
      </c>
    </row>
    <row customHeight="1" ht="17" r="253">
      <c r="A253" s="12" t="n">
        <v>1</v>
      </c>
      <c r="B253" s="12" t="inlineStr">
        <is>
          <t>terreng</t>
        </is>
      </c>
      <c r="C253" s="12" t="inlineStr">
        <is>
          <t>senkninger</t>
        </is>
      </c>
      <c r="D253" s="12" t="n">
        <v>244</v>
      </c>
      <c r="E253" s="12" t="inlineStr">
        <is>
          <t>senkning</t>
        </is>
      </c>
      <c r="F253" t="n">
        <v>372</v>
      </c>
      <c r="G253" s="12" t="n">
        <v>340</v>
      </c>
      <c r="H253" s="12" t="inlineStr">
        <is>
          <t>Senkning</t>
        </is>
      </c>
      <c r="I253" s="2" t="inlineStr">
        <is>
          <t>Flat forsenkning, dalsenkning.</t>
        </is>
      </c>
      <c r="J253" s="12" t="inlineStr">
        <is>
          <t>Flat forsenkning, dalsenkning</t>
        </is>
      </c>
      <c r="K253" s="1" t="inlineStr">
        <is>
          <t>"natural = valley", 26
"place = locality", 26</t>
        </is>
      </c>
      <c r="L253" s="5" t="inlineStr">
        <is>
          <t>natural=valley</t>
        </is>
      </c>
      <c r="M253" s="12" t="inlineStr">
        <is>
          <t>place=locality</t>
        </is>
      </c>
      <c r="O253" s="5">
        <f>CONCATENATE(Tabell1[[#This Row],[OSM tag]],";",Tabell1[[#This Row],[tillegg]],";",Tabell1[[#This Row],[fixme]])</f>
        <v/>
      </c>
    </row>
    <row customHeight="1" ht="34" r="254">
      <c r="B254" s="12" t="inlineStr">
        <is>
          <t>terreng</t>
        </is>
      </c>
      <c r="C254" s="12" t="inlineStr">
        <is>
          <t>senkninger</t>
        </is>
      </c>
      <c r="E254" s="12" t="inlineStr">
        <is>
          <t>krater</t>
        </is>
      </c>
      <c r="I254" s="2" t="inlineStr">
        <is>
          <t>Skål- eller traktformet senkning i jordoverflaten forårsaket av vulkansk aktivitet eller av meteorittnedslag.</t>
        </is>
      </c>
      <c r="J254" s="12" t="n"/>
      <c r="K254" s="5" t="n"/>
      <c r="M254" s="12" t="inlineStr">
        <is>
          <t>place=locality</t>
        </is>
      </c>
      <c r="O254" s="5">
        <f>CONCATENATE(Tabell1[[#This Row],[OSM tag]],";",Tabell1[[#This Row],[tillegg]],";",Tabell1[[#This Row],[fixme]])</f>
        <v/>
      </c>
    </row>
    <row customHeight="1" ht="17" r="255">
      <c r="A255" s="12" t="n">
        <v>1</v>
      </c>
      <c r="B255" s="12" t="inlineStr">
        <is>
          <t>terreng</t>
        </is>
      </c>
      <c r="C255" s="12" t="inlineStr">
        <is>
          <t>skråninger</t>
        </is>
      </c>
      <c r="D255" s="12" t="n">
        <v>9</v>
      </c>
      <c r="E255" s="12" t="inlineStr">
        <is>
          <t>bakke</t>
        </is>
      </c>
      <c r="F255" t="n">
        <v>12675</v>
      </c>
      <c r="G255" s="12" t="n">
        <v>11974</v>
      </c>
      <c r="H255" s="12" t="inlineStr">
        <is>
          <t>Bakke</t>
        </is>
      </c>
      <c r="I255" s="2" t="inlineStr">
        <is>
          <t>Terrengskråning, særlig om siden av en ås eller haug.</t>
        </is>
      </c>
      <c r="J255" s="12" t="inlineStr">
        <is>
          <t>Skråning</t>
        </is>
      </c>
      <c r="K255" s="1" t="inlineStr">
        <is>
          <t>"place = locality", 168
"natural = slope", 158</t>
        </is>
      </c>
      <c r="L255" s="5" t="inlineStr">
        <is>
          <t>natural=slope</t>
        </is>
      </c>
      <c r="M255" s="12" t="inlineStr">
        <is>
          <t>place=locality</t>
        </is>
      </c>
      <c r="O255" s="5">
        <f>CONCATENATE(Tabell1[[#This Row],[OSM tag]],";",Tabell1[[#This Row],[tillegg]],";",Tabell1[[#This Row],[fixme]])</f>
        <v/>
      </c>
    </row>
    <row customHeight="1" ht="17" r="256">
      <c r="A256" s="12" t="n">
        <v>1</v>
      </c>
      <c r="B256" s="12" t="inlineStr">
        <is>
          <t>terreng</t>
        </is>
      </c>
      <c r="C256" s="12" t="inlineStr">
        <is>
          <t>skråninger</t>
        </is>
      </c>
      <c r="D256" s="12" t="n">
        <v>10</v>
      </c>
      <c r="E256" s="12" t="inlineStr">
        <is>
          <t>li</t>
        </is>
      </c>
      <c r="F256" t="n">
        <v>33214</v>
      </c>
      <c r="G256" s="12" t="n">
        <v>32819</v>
      </c>
      <c r="H256" s="12" t="inlineStr">
        <is>
          <t>Li</t>
        </is>
      </c>
      <c r="I256" s="2" t="inlineStr">
        <is>
          <t>Skrånende terreng.</t>
        </is>
      </c>
      <c r="J256" s="12" t="inlineStr">
        <is>
          <t>Skrånende terreng</t>
        </is>
      </c>
      <c r="K256" s="1" t="inlineStr">
        <is>
          <t>"place = locality", 365
"natural = slope", 350</t>
        </is>
      </c>
      <c r="L256" s="5" t="inlineStr">
        <is>
          <t>natural=slope</t>
        </is>
      </c>
      <c r="M256" s="12" t="inlineStr">
        <is>
          <t>place=locality</t>
        </is>
      </c>
      <c r="O256" s="5">
        <f>CONCATENATE(Tabell1[[#This Row],[OSM tag]],";",Tabell1[[#This Row],[tillegg]],";",Tabell1[[#This Row],[fixme]])</f>
        <v/>
      </c>
    </row>
    <row customHeight="1" ht="17" r="257">
      <c r="A257" s="12" t="n">
        <v>1</v>
      </c>
      <c r="B257" s="12" t="inlineStr">
        <is>
          <t>terreng</t>
        </is>
      </c>
      <c r="C257" s="12" t="inlineStr">
        <is>
          <t>skråninger</t>
        </is>
      </c>
      <c r="D257" s="12" t="n">
        <v>239</v>
      </c>
      <c r="E257" s="12" t="inlineStr">
        <is>
          <t>fjellside</t>
        </is>
      </c>
      <c r="F257" t="n">
        <v>1524</v>
      </c>
      <c r="G257" s="12" t="n">
        <v>1437</v>
      </c>
      <c r="H257" s="12" t="inlineStr">
        <is>
          <t>Fjellside</t>
        </is>
      </c>
      <c r="I257" s="2" t="inlineStr">
        <is>
          <t>Åpent, skrånende terreng i fjellet.</t>
        </is>
      </c>
      <c r="J257" s="12" t="inlineStr">
        <is>
          <t>Åpent, skrånende terreng i fjellet</t>
        </is>
      </c>
      <c r="K257" s="1" t="inlineStr">
        <is>
          <t>"place = locality", 24</t>
        </is>
      </c>
      <c r="M257" s="12" t="inlineStr">
        <is>
          <t>place=locality</t>
        </is>
      </c>
      <c r="O257" s="5">
        <f>CONCATENATE(Tabell1[[#This Row],[OSM tag]],";",Tabell1[[#This Row],[tillegg]],";",Tabell1[[#This Row],[fixme]])</f>
        <v/>
      </c>
    </row>
    <row customHeight="1" ht="17" r="258">
      <c r="A258" s="12" t="n">
        <v>1</v>
      </c>
      <c r="B258" s="12" t="inlineStr">
        <is>
          <t>terreng</t>
        </is>
      </c>
      <c r="C258" s="12" t="inlineStr">
        <is>
          <t>terrengdetaljer</t>
        </is>
      </c>
      <c r="D258" s="12" t="n">
        <v>3</v>
      </c>
      <c r="E258" s="12" t="inlineStr">
        <is>
          <t>fjellområde</t>
        </is>
      </c>
      <c r="F258" t="n">
        <v>217</v>
      </c>
      <c r="G258" s="12" t="n">
        <v>337</v>
      </c>
      <c r="H258" s="12" t="inlineStr">
        <is>
          <t>Fjellområde</t>
        </is>
      </c>
      <c r="I258" s="2" t="inlineStr">
        <is>
          <t>Større område med fjell og fjellandskap.</t>
        </is>
      </c>
      <c r="J258" s="12" t="inlineStr">
        <is>
          <t>Stort fjellområde. Eks. Rondane, Saltfjellet, Lyseheiane</t>
        </is>
      </c>
      <c r="K258" s="1" t="inlineStr">
        <is>
          <t>"natural = mountain_range", 6
"note = Please refine boundary based on local knowledge", 5</t>
        </is>
      </c>
      <c r="L258" s="5" t="inlineStr">
        <is>
          <t>natural=mountain_range</t>
        </is>
      </c>
      <c r="O258" s="5">
        <f>CONCATENATE(Tabell1[[#This Row],[OSM tag]],";",Tabell1[[#This Row],[tillegg]],";",Tabell1[[#This Row],[fixme]])</f>
        <v/>
      </c>
      <c r="P258" s="5" t="inlineStr">
        <is>
          <t>Depracted?</t>
        </is>
      </c>
    </row>
    <row customHeight="1" ht="17" r="259">
      <c r="A259" s="12" t="n">
        <v>1</v>
      </c>
      <c r="B259" s="12" t="inlineStr">
        <is>
          <t>terreng</t>
        </is>
      </c>
      <c r="C259" s="12" t="inlineStr">
        <is>
          <t>terrengdetaljer</t>
        </is>
      </c>
      <c r="D259" s="12" t="n">
        <v>11</v>
      </c>
      <c r="E259" s="12" t="inlineStr">
        <is>
          <t>stup</t>
        </is>
      </c>
      <c r="F259" t="n">
        <v>2939</v>
      </c>
      <c r="G259" s="12" t="n">
        <v>2726</v>
      </c>
      <c r="H259" s="12" t="inlineStr">
        <is>
          <t>Stup</t>
        </is>
      </c>
      <c r="I259" s="2" t="inlineStr">
        <is>
          <t>Loddrett, svært bratt berg.</t>
        </is>
      </c>
      <c r="J259" s="12" t="inlineStr">
        <is>
          <t>Loddrett eller svært bratt, fallende terreng</t>
        </is>
      </c>
      <c r="K259" s="1" t="inlineStr">
        <is>
          <t>"natural = cliff", 87</t>
        </is>
      </c>
      <c r="L259" s="5" t="inlineStr">
        <is>
          <t>natural=cliff</t>
        </is>
      </c>
      <c r="M259" s="12" t="n"/>
      <c r="O259" s="5">
        <f>CONCATENATE(Tabell1[[#This Row],[OSM tag]],";",Tabell1[[#This Row],[tillegg]],";",Tabell1[[#This Row],[fixme]])</f>
        <v/>
      </c>
    </row>
    <row customHeight="1" ht="34" r="260">
      <c r="A260" s="12" t="n">
        <v>1</v>
      </c>
      <c r="B260" s="12" t="inlineStr">
        <is>
          <t>terreng</t>
        </is>
      </c>
      <c r="C260" s="12" t="inlineStr">
        <is>
          <t>terrengdetaljer</t>
        </is>
      </c>
      <c r="D260" s="12" t="n">
        <v>12</v>
      </c>
      <c r="E260" s="7" t="inlineStr">
        <is>
          <t>vidde</t>
        </is>
      </c>
      <c r="F260" t="n">
        <v>154</v>
      </c>
      <c r="G260" s="12" t="n">
        <v>279</v>
      </c>
      <c r="H260" s="12" t="inlineStr">
        <is>
          <t>Vidde</t>
        </is>
      </c>
      <c r="I260" s="2" t="inlineStr">
        <is>
          <t>Høyereliggende (fjell)område med lite høydevariasjoner innenfor området, som regel over tregrensa.</t>
        </is>
      </c>
      <c r="J260" s="12" t="inlineStr">
        <is>
          <t>Høyereliggende, større område uten skog med lave terrengvariasjoner  innenfor området. Eks. Valdresflye, Hardangervidda, Finnmarksvidda, Laksefjordvidda</t>
        </is>
      </c>
      <c r="K260" s="1" t="inlineStr">
        <is>
          <t>"natural = mountain_range", 2
"note = Please refine boundary based on local knowledge", 2</t>
        </is>
      </c>
      <c r="L260" s="5" t="inlineStr">
        <is>
          <t>natural=plateau</t>
        </is>
      </c>
      <c r="O260" s="5">
        <f>CONCATENATE(Tabell1[[#This Row],[OSM tag]],";",Tabell1[[#This Row],[tillegg]],";",Tabell1[[#This Row],[fixme]])</f>
        <v/>
      </c>
    </row>
    <row customHeight="1" ht="17" r="261">
      <c r="A261" s="12" t="n">
        <v>1</v>
      </c>
      <c r="B261" s="12" t="inlineStr">
        <is>
          <t>terreng</t>
        </is>
      </c>
      <c r="C261" s="12" t="inlineStr">
        <is>
          <t>terrengdetaljer</t>
        </is>
      </c>
      <c r="D261" s="12" t="n">
        <v>22</v>
      </c>
      <c r="E261" s="12" t="inlineStr">
        <is>
          <t>heller</t>
        </is>
      </c>
      <c r="F261" t="n">
        <v>592</v>
      </c>
      <c r="G261" s="12" t="n">
        <v>513</v>
      </c>
      <c r="H261" s="12" t="inlineStr">
        <is>
          <t>Heller</t>
        </is>
      </c>
      <c r="I261" s="2" t="inlineStr">
        <is>
          <t>Utoverhengende bergvegg eller berghule.</t>
        </is>
      </c>
      <c r="J261" s="12" t="inlineStr">
        <is>
          <t>Utoverhengende bergvegg, berghule</t>
        </is>
      </c>
      <c r="K261" s="1" t="inlineStr">
        <is>
          <t>"place = locality", 4</t>
        </is>
      </c>
      <c r="L261" s="2" t="n"/>
      <c r="M261" s="12" t="inlineStr">
        <is>
          <t>place=locality</t>
        </is>
      </c>
      <c r="O261" s="5">
        <f>CONCATENATE(Tabell1[[#This Row],[OSM tag]],";",Tabell1[[#This Row],[tillegg]],";",Tabell1[[#This Row],[fixme]])</f>
        <v/>
      </c>
    </row>
    <row customHeight="1" ht="17" r="262">
      <c r="A262" s="12" t="n">
        <v>1</v>
      </c>
      <c r="B262" s="12" t="inlineStr">
        <is>
          <t>terreng</t>
        </is>
      </c>
      <c r="C262" s="12" t="inlineStr">
        <is>
          <t>terrengdetaljer</t>
        </is>
      </c>
      <c r="D262" s="12" t="n">
        <v>212</v>
      </c>
      <c r="E262" s="12" t="inlineStr">
        <is>
          <t>hylle</t>
        </is>
      </c>
      <c r="F262" t="n">
        <v>3341</v>
      </c>
      <c r="G262" s="12" t="n">
        <v>2244</v>
      </c>
      <c r="H262" s="12" t="inlineStr">
        <is>
          <t>Hylle (hjell)</t>
        </is>
      </c>
      <c r="I262" s="2" t="inlineStr">
        <is>
          <t>Flatt, tilnærmet vannrett område i fjellside.</t>
        </is>
      </c>
      <c r="J262" s="12" t="inlineStr">
        <is>
          <t>Flatt område i fjellside</t>
        </is>
      </c>
      <c r="K262" s="1" t="inlineStr">
        <is>
          <t>"place = locality", 10</t>
        </is>
      </c>
      <c r="M262" s="12" t="inlineStr">
        <is>
          <t>place=locality</t>
        </is>
      </c>
      <c r="O262" s="5">
        <f>CONCATENATE(Tabell1[[#This Row],[OSM tag]],";",Tabell1[[#This Row],[tillegg]],";",Tabell1[[#This Row],[fixme]])</f>
        <v/>
      </c>
    </row>
    <row customHeight="1" ht="34" r="263">
      <c r="A263" s="12" t="n">
        <v>1</v>
      </c>
      <c r="B263" s="12" t="inlineStr">
        <is>
          <t>terreng</t>
        </is>
      </c>
      <c r="C263" s="12" t="inlineStr">
        <is>
          <t>terrengdetaljer</t>
        </is>
      </c>
      <c r="D263" s="12" t="n">
        <v>213</v>
      </c>
      <c r="E263" s="7" t="inlineStr">
        <is>
          <t>annenTerrengdetalj</t>
        </is>
      </c>
      <c r="F263" t="n">
        <v>6627</v>
      </c>
      <c r="G263" s="12" t="n">
        <v>6057</v>
      </c>
      <c r="H263" s="12" t="inlineStr">
        <is>
          <t>Terrengdetalj</t>
        </is>
      </c>
      <c r="I263" s="2" t="inlineStr">
        <is>
          <t>Små detaljer som ikke dekkes av andre navneobjekttyper innenfor kategorien.</t>
        </is>
      </c>
      <c r="J263" s="12" t="inlineStr">
        <is>
          <t>Alle typer små naturdetaljer, f.eks. sprekker, hulveier, sand-/stein- /grusflater. Skriv forklaring i merknadsfeltet.</t>
        </is>
      </c>
      <c r="K263" s="1" t="inlineStr">
        <is>
          <t>"place = locality", 81</t>
        </is>
      </c>
      <c r="M263" s="12" t="inlineStr">
        <is>
          <t>place=locality</t>
        </is>
      </c>
      <c r="O263" s="5">
        <f>CONCATENATE(Tabell1[[#This Row],[OSM tag]],";",Tabell1[[#This Row],[tillegg]],";",Tabell1[[#This Row],[fixme]])</f>
        <v/>
      </c>
    </row>
    <row customHeight="1" ht="34" r="264">
      <c r="A264" s="12" t="n">
        <v>1</v>
      </c>
      <c r="B264" s="12" t="inlineStr">
        <is>
          <t>terreng</t>
        </is>
      </c>
      <c r="C264" s="12" t="inlineStr">
        <is>
          <t>terrengdetaljer</t>
        </is>
      </c>
      <c r="D264" s="12" t="n">
        <v>247</v>
      </c>
      <c r="E264" s="12" t="inlineStr">
        <is>
          <t>landskapsområde</t>
        </is>
      </c>
      <c r="G264" s="12" t="n">
        <v>51</v>
      </c>
      <c r="H264" s="12" t="inlineStr">
        <is>
          <t>Landskapsområde</t>
        </is>
      </c>
      <c r="I264" s="2" t="inlineStr">
        <is>
          <t>Område der drag i landskapet, naturforhold, arealbruk og bosetting er samlende og skiller seg fra tilgrensende områder.</t>
        </is>
      </c>
      <c r="J264" s="12" t="inlineStr">
        <is>
          <t>Stort landskapsområde. Eks. Dalane, Jæren, Romerike, Grenland, Salten,  Varanger</t>
        </is>
      </c>
      <c r="K264" s="5" t="n"/>
      <c r="O264" s="5">
        <f>CONCATENATE(Tabell1[[#This Row],[OSM tag]],";",Tabell1[[#This Row],[tillegg]],";",Tabell1[[#This Row],[fixme]])</f>
        <v/>
      </c>
      <c r="P264" s="5" t="inlineStr">
        <is>
          <t>Already mapped?</t>
        </is>
      </c>
    </row>
    <row customHeight="1" ht="17" r="265">
      <c r="A265" s="12" t="n">
        <v>1</v>
      </c>
      <c r="B265" s="12" t="inlineStr">
        <is>
          <t>terreng</t>
        </is>
      </c>
      <c r="C265" s="12" t="inlineStr">
        <is>
          <t>terrengdetaljer</t>
        </is>
      </c>
      <c r="D265" s="12" t="n">
        <v>260</v>
      </c>
      <c r="E265" s="12" t="inlineStr">
        <is>
          <t>grotte</t>
        </is>
      </c>
      <c r="G265" s="12" t="n">
        <v>19</v>
      </c>
      <c r="H265" s="12" t="inlineStr">
        <is>
          <t>Grotte</t>
        </is>
      </c>
      <c r="I265" s="2" t="inlineStr">
        <is>
          <t>Naturlig fjellgrotte.</t>
        </is>
      </c>
      <c r="J265" s="12" t="inlineStr">
        <is>
          <t>Naturlig fjellgrotte</t>
        </is>
      </c>
      <c r="K265" s="5" t="n"/>
      <c r="L265" s="5" t="inlineStr">
        <is>
          <t>natural=cave_entrance</t>
        </is>
      </c>
      <c r="M265" s="12" t="n"/>
      <c r="O265" s="5">
        <f>CONCATENATE(Tabell1[[#This Row],[OSM tag]],";",Tabell1[[#This Row],[tillegg]],";",Tabell1[[#This Row],[fixme]])</f>
        <v/>
      </c>
    </row>
    <row customHeight="1" ht="17" r="266">
      <c r="A266" s="12" t="n">
        <v>8</v>
      </c>
      <c r="B266" s="12" t="inlineStr">
        <is>
          <t>terreng</t>
        </is>
      </c>
      <c r="C266" s="12" t="inlineStr">
        <is>
          <t>terrengdetaljer</t>
        </is>
      </c>
      <c r="D266" s="12" t="n">
        <v>299</v>
      </c>
      <c r="E266" s="12" t="inlineStr">
        <is>
          <t>geologiskStruktur</t>
        </is>
      </c>
      <c r="G266" s="12" t="n">
        <v>1</v>
      </c>
      <c r="H266" s="12" t="inlineStr">
        <is>
          <t>Geologisk struktur</t>
        </is>
      </c>
      <c r="I266" s="2" t="inlineStr">
        <is>
          <t>Navngitt struktur/formasjon i berggrunnen.</t>
        </is>
      </c>
      <c r="J266" s="12" t="inlineStr">
        <is>
          <t>Geologisk formasjon under jordoverflaten, på land og i havet</t>
        </is>
      </c>
      <c r="K266" s="5" t="n"/>
      <c r="M266" s="12" t="inlineStr">
        <is>
          <t>place=locality</t>
        </is>
      </c>
      <c r="O266" s="5">
        <f>CONCATENATE(Tabell1[[#This Row],[OSM tag]],";",Tabell1[[#This Row],[tillegg]],";",Tabell1[[#This Row],[fixme]])</f>
        <v/>
      </c>
    </row>
    <row customHeight="1" ht="17" r="267">
      <c r="A267" s="12" t="n">
        <v>1</v>
      </c>
      <c r="B267" s="12" t="inlineStr">
        <is>
          <t>terreng</t>
        </is>
      </c>
      <c r="C267" s="12" t="inlineStr">
        <is>
          <t>terrengområder</t>
        </is>
      </c>
      <c r="D267" s="12" t="n">
        <v>246</v>
      </c>
      <c r="E267" s="12" t="inlineStr">
        <is>
          <t>skogområde</t>
        </is>
      </c>
      <c r="F267" t="n">
        <v>80</v>
      </c>
      <c r="G267" s="12" t="n">
        <v>44</v>
      </c>
      <c r="H267" s="12" t="inlineStr">
        <is>
          <t>Skogområde</t>
        </is>
      </c>
      <c r="I267" s="2" t="inlineStr">
        <is>
          <t>Større område med skog og mark.</t>
        </is>
      </c>
      <c r="J267" s="12" t="inlineStr">
        <is>
          <t>Stort skogområde. Eks. Nordmarka, Bymarka, Finnskogen</t>
        </is>
      </c>
      <c r="K267" s="1" t="inlineStr">
        <is>
          <t>"place = isolated_dwelling", 2
"place = locality", 16
"place = farm", 2</t>
        </is>
      </c>
      <c r="L267" s="5" t="inlineStr">
        <is>
          <t>natural=wood</t>
        </is>
      </c>
      <c r="O267" s="5">
        <f>CONCATENATE(Tabell1[[#This Row],[OSM tag]],";",Tabell1[[#This Row],[tillegg]],";",Tabell1[[#This Row],[fixme]])</f>
        <v/>
      </c>
    </row>
    <row customHeight="1" ht="17" r="268">
      <c r="A268" s="12" t="n">
        <v>8</v>
      </c>
      <c r="D268" s="12" t="n">
        <v>202</v>
      </c>
      <c r="G268" s="12" t="n">
        <v>14</v>
      </c>
      <c r="H268" s="12" t="inlineStr">
        <is>
          <t>Tømmerrenne</t>
        </is>
      </c>
      <c r="J268" s="12" t="inlineStr">
        <is>
          <t>Kunstig tømmeranlegg</t>
        </is>
      </c>
      <c r="K268" s="5" t="n"/>
      <c r="O268" s="5">
        <f>CONCATENATE(Tabell1[[#This Row],[OSM tag]],";",Tabell1[[#This Row],[tillegg]],";",Tabell1[[#This Row],[fixme]])</f>
        <v/>
      </c>
    </row>
    <row customHeight="1" ht="17" r="269">
      <c r="A269" s="12" t="n">
        <v>5</v>
      </c>
      <c r="D269" s="12" t="n">
        <v>231</v>
      </c>
      <c r="G269" s="12" t="n">
        <v>47</v>
      </c>
      <c r="H269" s="12" t="inlineStr">
        <is>
          <t>NA</t>
        </is>
      </c>
      <c r="J269" s="12" t="inlineStr">
        <is>
          <t>NA</t>
        </is>
      </c>
      <c r="K269" s="5" t="n"/>
      <c r="O269" s="5">
        <f>CONCATENATE(Tabell1[[#This Row],[OSM tag]],";",Tabell1[[#This Row],[tillegg]],";",Tabell1[[#This Row],[fixme]])</f>
        <v/>
      </c>
    </row>
    <row customHeight="1" ht="17" r="270">
      <c r="A270" s="12" t="n">
        <v>2</v>
      </c>
      <c r="D270" s="12" t="n">
        <v>238</v>
      </c>
      <c r="G270" s="12" t="n">
        <v>131</v>
      </c>
      <c r="H270" s="12" t="inlineStr">
        <is>
          <t>NA</t>
        </is>
      </c>
      <c r="J270" s="12" t="inlineStr">
        <is>
          <t>NA</t>
        </is>
      </c>
      <c r="K270" s="5" t="n"/>
      <c r="O270" s="5">
        <f>CONCATENATE(Tabell1[[#This Row],[OSM tag]],";",Tabell1[[#This Row],[tillegg]],";",Tabell1[[#This Row],[fixme]])</f>
        <v/>
      </c>
    </row>
    <row customHeight="1" ht="17" r="271">
      <c r="A271" s="12" t="n">
        <v>7</v>
      </c>
      <c r="D271" s="12" t="n">
        <v>268</v>
      </c>
      <c r="G271" s="12" t="n">
        <v>5</v>
      </c>
      <c r="H271" s="12" t="inlineStr">
        <is>
          <t>NA</t>
        </is>
      </c>
      <c r="J271" s="12" t="inlineStr">
        <is>
          <t>NA</t>
        </is>
      </c>
      <c r="K271" s="5" t="n"/>
      <c r="O271" s="5">
        <f>CONCATENATE(Tabell1[[#This Row],[OSM tag]],";",Tabell1[[#This Row],[tillegg]],";",Tabell1[[#This Row],[fixme]])</f>
        <v/>
      </c>
    </row>
  </sheetData>
  <pageMargins bottom="0.75" footer="0.3" header="0.3" left="0.7" right="0.7" top="0.75"/>
  <pageSetup fitToWidth="1" horizontalDpi="0" orientation="portrait" paperSize="9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2019-02-10T20:51:25Z</dcterms:modified>
</cp:coreProperties>
</file>